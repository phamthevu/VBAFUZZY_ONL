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sktop\Research\VBAFuzzy\ZFDelphi PowerQuery\DATA DELPHI\"/>
    </mc:Choice>
  </mc:AlternateContent>
  <xr:revisionPtr revIDLastSave="0" documentId="13_ncr:1_{0404FCA2-2ADF-4FFF-91DA-07AC23FA9BA8}" xr6:coauthVersionLast="47" xr6:coauthVersionMax="47" xr10:uidLastSave="{00000000-0000-0000-0000-000000000000}"/>
  <bookViews>
    <workbookView xWindow="-108" yWindow="-108" windowWidth="23256" windowHeight="12456" firstSheet="1" activeTab="1" xr2:uid="{00000000-000D-0000-FFFF-FFFF00000000}"/>
  </bookViews>
  <sheets>
    <sheet name="REF SHEET" sheetId="1" state="hidden" r:id="rId1"/>
    <sheet name="Answer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2" l="1"/>
  <c r="D18" i="2"/>
  <c r="D19" i="2"/>
  <c r="D20" i="2"/>
  <c r="D16" i="2"/>
</calcChain>
</file>

<file path=xl/sharedStrings.xml><?xml version="1.0" encoding="utf-8"?>
<sst xmlns="http://schemas.openxmlformats.org/spreadsheetml/2006/main" count="171" uniqueCount="107">
  <si>
    <t>F</t>
  </si>
  <si>
    <t>R</t>
  </si>
  <si>
    <t>F:R</t>
  </si>
  <si>
    <t>Z-Fuzzy</t>
  </si>
  <si>
    <t>AI</t>
  </si>
  <si>
    <t>VL</t>
  </si>
  <si>
    <t>AI;VL</t>
  </si>
  <si>
    <t>(0,0949; 0,1265; 0,1265)</t>
  </si>
  <si>
    <t>L</t>
  </si>
  <si>
    <t>AI;L</t>
  </si>
  <si>
    <t>(0,1643; 0,2191; 0,2191)</t>
  </si>
  <si>
    <t>M</t>
  </si>
  <si>
    <t>AI;M</t>
  </si>
  <si>
    <t>(0,2121; 0,2828; 0,2828)</t>
  </si>
  <si>
    <t>H</t>
  </si>
  <si>
    <t>AI;H</t>
  </si>
  <si>
    <t>(0,251; 0,3347; 0,3347)</t>
  </si>
  <si>
    <t>VH</t>
  </si>
  <si>
    <t>AI;VH</t>
  </si>
  <si>
    <t>(0,2846; 0,3795; 0,3795)</t>
  </si>
  <si>
    <t>NI</t>
  </si>
  <si>
    <t>NI;VL</t>
  </si>
  <si>
    <t>(0; 0; 0,0316)</t>
  </si>
  <si>
    <t>NI;L</t>
  </si>
  <si>
    <t>(0; 0; 0,0548)</t>
  </si>
  <si>
    <t>NI;M</t>
  </si>
  <si>
    <t>(0; 0; 0,0707)</t>
  </si>
  <si>
    <t>NI;H</t>
  </si>
  <si>
    <t>(0; 0; 0,0837)</t>
  </si>
  <si>
    <t>NI;VH</t>
  </si>
  <si>
    <t>(0; 0; 0,0949)</t>
  </si>
  <si>
    <t>FI</t>
  </si>
  <si>
    <t>FI;VL</t>
  </si>
  <si>
    <t>(0,0316; 0,0632; 0,0949)</t>
  </si>
  <si>
    <t>FI;L</t>
  </si>
  <si>
    <t>(0,0548; 0,1095; 0,1643)</t>
  </si>
  <si>
    <t>FI;M</t>
  </si>
  <si>
    <t>(0,0707; 0,1414; 0,2121)</t>
  </si>
  <si>
    <t>FI;H</t>
  </si>
  <si>
    <t>(0,0837; 0,1673; 0,251)</t>
  </si>
  <si>
    <t>FI;VH</t>
  </si>
  <si>
    <t>(0,0949; 0,1897; 0,2846)</t>
  </si>
  <si>
    <t>VI</t>
  </si>
  <si>
    <t>VI;VL</t>
  </si>
  <si>
    <t>(0,0632; 0,0949; 0,1265)</t>
  </si>
  <si>
    <t>VI;L</t>
  </si>
  <si>
    <t>(0,1095; 0,1643; 0,2191)</t>
  </si>
  <si>
    <t>VI;M</t>
  </si>
  <si>
    <t>(0,1414; 0,2121; 0,2828)</t>
  </si>
  <si>
    <t>VI;H</t>
  </si>
  <si>
    <t>(0,1673; 0,251; 0,3347)</t>
  </si>
  <si>
    <t>VI;VH</t>
  </si>
  <si>
    <t>(0,1897; 0,2846; 0,3795)</t>
  </si>
  <si>
    <t>WI</t>
  </si>
  <si>
    <t>WI;VL</t>
  </si>
  <si>
    <t>(0; 0,0316; 0,0632)</t>
  </si>
  <si>
    <t>WI;L</t>
  </si>
  <si>
    <t>(0; 0,0548; 0,1095)</t>
  </si>
  <si>
    <t>WI;M</t>
  </si>
  <si>
    <t>(0; 0,0707; 0,1414)</t>
  </si>
  <si>
    <t>WI;H</t>
  </si>
  <si>
    <t>(0; 0,0837; 0,1673)</t>
  </si>
  <si>
    <t>WI;VH</t>
  </si>
  <si>
    <t>(0; 0,0949; 0,1897)</t>
  </si>
  <si>
    <t>Full Name</t>
  </si>
  <si>
    <t>Education Level</t>
  </si>
  <si>
    <t>PART I: GENERAL INFORMATION</t>
  </si>
  <si>
    <t>*Note: Please fill in only the yellow cells</t>
  </si>
  <si>
    <t>QUESTIONNAIRE ON THE RELEVANCE AND INFLUENCE OF FACTORS AFFECTING CONSUMERS’ INTENTION TO PURCHASE LUXURY FASHION</t>
  </si>
  <si>
    <t>Experience</t>
  </si>
  <si>
    <t>Bachelor</t>
  </si>
  <si>
    <t>Master</t>
  </si>
  <si>
    <t>Docter</t>
  </si>
  <si>
    <t>Others</t>
  </si>
  <si>
    <t>Less than 1 year</t>
  </si>
  <si>
    <t>1-5 year</t>
  </si>
  <si>
    <t>5-10 year</t>
  </si>
  <si>
    <t>More than 10 year</t>
  </si>
  <si>
    <t>Job</t>
  </si>
  <si>
    <t>PART II: ASSESSMENT</t>
  </si>
  <si>
    <t>R(Code)</t>
  </si>
  <si>
    <t>A(Code)</t>
  </si>
  <si>
    <t>Absolutely Influence</t>
  </si>
  <si>
    <t>Very Influence</t>
  </si>
  <si>
    <t>Fair Influence</t>
  </si>
  <si>
    <t>Week Influence</t>
  </si>
  <si>
    <t>No Influence</t>
  </si>
  <si>
    <t>Very High</t>
  </si>
  <si>
    <t>High</t>
  </si>
  <si>
    <t>Medium</t>
  </si>
  <si>
    <t>Low</t>
  </si>
  <si>
    <t>Very Low</t>
  </si>
  <si>
    <t>Assessment Scale</t>
  </si>
  <si>
    <t>Reability Scale</t>
  </si>
  <si>
    <t>How do you rate the influence of the following factors on consumers' intention to purchase luxury fashion products, and how confident are you in your assessment?
Assessment Scale and Reability Scale in the right side</t>
  </si>
  <si>
    <t>Factor</t>
  </si>
  <si>
    <t>Assessment</t>
  </si>
  <si>
    <t>Confident</t>
  </si>
  <si>
    <t>Result code</t>
  </si>
  <si>
    <t>Intergrity</t>
  </si>
  <si>
    <t>Subjective Norm</t>
  </si>
  <si>
    <t>Ethical Concern</t>
  </si>
  <si>
    <t>Price-quality Inference</t>
  </si>
  <si>
    <t>Product Evaluation</t>
  </si>
  <si>
    <t>Note</t>
  </si>
  <si>
    <t>Nguyễn Hàn My</t>
  </si>
  <si>
    <t>Marketing Officer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</si>
</sst>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000000"/>
      <name val="Times New Roman"/>
      <family val="1"/>
    </font>
    <font>
      <b/>
      <sz val="15"/>
      <color theme="1"/>
      <name val="Times New Roman"/>
      <family val="1"/>
    </font>
    <font>
      <sz val="11"/>
      <color theme="1"/>
      <name val="Times New Roman"/>
      <family val="1"/>
    </font>
    <font>
      <b/>
      <sz val="8"/>
      <color theme="1"/>
      <name val="Times New Roman"/>
      <family val="1"/>
    </font>
    <font>
      <b/>
      <sz val="11"/>
      <color theme="1"/>
      <name val="Times New Roman"/>
      <family val="1"/>
    </font>
    <font>
      <sz val="10"/>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0" borderId="1" xfId="0" applyFont="1" applyBorder="1"/>
    <xf numFmtId="0" fontId="3" fillId="0" borderId="0" xfId="0" applyFont="1"/>
    <xf numFmtId="0" fontId="1" fillId="0" borderId="3" xfId="0" applyFont="1" applyBorder="1"/>
    <xf numFmtId="0" fontId="3" fillId="3" borderId="1" xfId="0" applyFont="1" applyFill="1" applyBorder="1"/>
    <xf numFmtId="0" fontId="3" fillId="7" borderId="1" xfId="0" applyFont="1" applyFill="1" applyBorder="1"/>
    <xf numFmtId="0" fontId="5" fillId="7" borderId="1" xfId="0" applyFont="1" applyFill="1" applyBorder="1"/>
    <xf numFmtId="0" fontId="5" fillId="7" borderId="1" xfId="0" applyFont="1" applyFill="1" applyBorder="1" applyAlignment="1">
      <alignment horizontal="center"/>
    </xf>
    <xf numFmtId="0" fontId="2" fillId="2" borderId="0" xfId="0" applyFont="1" applyFill="1" applyAlignment="1">
      <alignment vertical="center"/>
    </xf>
    <xf numFmtId="0" fontId="3" fillId="3" borderId="1" xfId="0" applyFont="1" applyFill="1" applyBorder="1" applyAlignment="1">
      <alignment horizontal="center"/>
    </xf>
    <xf numFmtId="0" fontId="5" fillId="4" borderId="1" xfId="0" applyFont="1" applyFill="1" applyBorder="1" applyAlignment="1">
      <alignment horizontal="center"/>
    </xf>
    <xf numFmtId="0" fontId="6" fillId="6" borderId="1" xfId="0" applyFont="1" applyFill="1" applyBorder="1" applyAlignment="1">
      <alignment horizontal="left" vertical="center" wrapText="1"/>
    </xf>
    <xf numFmtId="0" fontId="3" fillId="7" borderId="1" xfId="0" applyFont="1" applyFill="1" applyBorder="1" applyAlignment="1">
      <alignment horizontal="center"/>
    </xf>
    <xf numFmtId="0" fontId="4" fillId="5" borderId="0" xfId="0" applyFont="1" applyFill="1" applyAlignment="1">
      <alignment horizontal="left"/>
    </xf>
    <xf numFmtId="0" fontId="2" fillId="2" borderId="0" xfId="0" applyFont="1" applyFill="1" applyAlignment="1">
      <alignment horizontal="center" vertical="center"/>
    </xf>
    <xf numFmtId="0" fontId="5" fillId="4" borderId="2" xfId="0" applyFont="1" applyFill="1" applyBorder="1" applyAlignment="1">
      <alignment horizontal="center"/>
    </xf>
    <xf numFmtId="0" fontId="5" fillId="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12</xdr:row>
      <xdr:rowOff>22860</xdr:rowOff>
    </xdr:from>
    <xdr:to>
      <xdr:col>9</xdr:col>
      <xdr:colOff>480309</xdr:colOff>
      <xdr:row>12</xdr:row>
      <xdr:rowOff>1242166</xdr:rowOff>
    </xdr:to>
    <xdr:pic>
      <xdr:nvPicPr>
        <xdr:cNvPr id="2" name="Picture 1">
          <a:extLst>
            <a:ext uri="{FF2B5EF4-FFF2-40B4-BE49-F238E27FC236}">
              <a16:creationId xmlns:a16="http://schemas.microsoft.com/office/drawing/2014/main" id="{FD2BFC84-F155-CF6F-8CB2-9014ECFDBB8D}"/>
            </a:ext>
          </a:extLst>
        </xdr:cNvPr>
        <xdr:cNvPicPr>
          <a:picLocks noChangeAspect="1"/>
        </xdr:cNvPicPr>
      </xdr:nvPicPr>
      <xdr:blipFill>
        <a:blip xmlns:r="http://schemas.openxmlformats.org/officeDocument/2006/relationships" r:embed="rId1"/>
        <a:stretch>
          <a:fillRect/>
        </a:stretch>
      </xdr:blipFill>
      <xdr:spPr>
        <a:xfrm>
          <a:off x="3451860" y="2491740"/>
          <a:ext cx="2872989" cy="1219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workbookViewId="0">
      <selection activeCell="I2" sqref="I2"/>
    </sheetView>
  </sheetViews>
  <sheetFormatPr defaultRowHeight="14.4" x14ac:dyDescent="0.3"/>
  <cols>
    <col min="4" max="4" width="23.44140625" bestFit="1" customWidth="1"/>
    <col min="8" max="8" width="19.33203125" bestFit="1" customWidth="1"/>
    <col min="9" max="9" width="22.21875" customWidth="1"/>
    <col min="10" max="10" width="15.44140625" bestFit="1" customWidth="1"/>
    <col min="11" max="11" width="17.21875" bestFit="1" customWidth="1"/>
  </cols>
  <sheetData>
    <row r="1" spans="1:11" ht="15.6" x14ac:dyDescent="0.3">
      <c r="A1" s="1" t="s">
        <v>0</v>
      </c>
      <c r="B1" s="1" t="s">
        <v>1</v>
      </c>
      <c r="C1" s="1" t="s">
        <v>2</v>
      </c>
      <c r="D1" s="1" t="s">
        <v>3</v>
      </c>
      <c r="F1" s="1" t="s">
        <v>81</v>
      </c>
      <c r="G1" s="1" t="s">
        <v>80</v>
      </c>
      <c r="H1" s="1" t="s">
        <v>92</v>
      </c>
      <c r="I1" s="1" t="s">
        <v>93</v>
      </c>
      <c r="J1" s="1" t="s">
        <v>65</v>
      </c>
      <c r="K1" s="1" t="s">
        <v>69</v>
      </c>
    </row>
    <row r="2" spans="1:11" ht="15.6" x14ac:dyDescent="0.3">
      <c r="A2" s="2" t="s">
        <v>4</v>
      </c>
      <c r="B2" s="2" t="s">
        <v>5</v>
      </c>
      <c r="C2" s="2" t="s">
        <v>6</v>
      </c>
      <c r="D2" s="2" t="s">
        <v>7</v>
      </c>
      <c r="F2" s="2" t="s">
        <v>4</v>
      </c>
      <c r="G2" s="2" t="s">
        <v>17</v>
      </c>
      <c r="H2" s="2" t="s">
        <v>82</v>
      </c>
      <c r="I2" s="2" t="s">
        <v>87</v>
      </c>
      <c r="J2" s="4" t="s">
        <v>70</v>
      </c>
      <c r="K2" s="2" t="s">
        <v>74</v>
      </c>
    </row>
    <row r="3" spans="1:11" ht="15.6" x14ac:dyDescent="0.3">
      <c r="A3" s="2" t="s">
        <v>4</v>
      </c>
      <c r="B3" s="2" t="s">
        <v>8</v>
      </c>
      <c r="C3" s="2" t="s">
        <v>9</v>
      </c>
      <c r="D3" s="2" t="s">
        <v>10</v>
      </c>
      <c r="F3" s="2" t="s">
        <v>42</v>
      </c>
      <c r="G3" s="2" t="s">
        <v>14</v>
      </c>
      <c r="H3" s="2" t="s">
        <v>83</v>
      </c>
      <c r="I3" s="2" t="s">
        <v>88</v>
      </c>
      <c r="J3" s="4" t="s">
        <v>71</v>
      </c>
      <c r="K3" s="2" t="s">
        <v>75</v>
      </c>
    </row>
    <row r="4" spans="1:11" ht="15.6" x14ac:dyDescent="0.3">
      <c r="A4" s="2" t="s">
        <v>4</v>
      </c>
      <c r="B4" s="2" t="s">
        <v>11</v>
      </c>
      <c r="C4" s="2" t="s">
        <v>12</v>
      </c>
      <c r="D4" s="2" t="s">
        <v>13</v>
      </c>
      <c r="F4" s="2" t="s">
        <v>31</v>
      </c>
      <c r="G4" s="2" t="s">
        <v>11</v>
      </c>
      <c r="H4" s="2" t="s">
        <v>84</v>
      </c>
      <c r="I4" s="2" t="s">
        <v>89</v>
      </c>
      <c r="J4" s="4" t="s">
        <v>72</v>
      </c>
      <c r="K4" s="2" t="s">
        <v>76</v>
      </c>
    </row>
    <row r="5" spans="1:11" ht="15.6" x14ac:dyDescent="0.3">
      <c r="A5" s="2" t="s">
        <v>4</v>
      </c>
      <c r="B5" s="2" t="s">
        <v>14</v>
      </c>
      <c r="C5" s="2" t="s">
        <v>15</v>
      </c>
      <c r="D5" s="2" t="s">
        <v>16</v>
      </c>
      <c r="F5" s="2" t="s">
        <v>53</v>
      </c>
      <c r="G5" s="2" t="s">
        <v>8</v>
      </c>
      <c r="H5" s="2" t="s">
        <v>85</v>
      </c>
      <c r="I5" s="2" t="s">
        <v>90</v>
      </c>
      <c r="J5" s="4" t="s">
        <v>73</v>
      </c>
      <c r="K5" s="2" t="s">
        <v>77</v>
      </c>
    </row>
    <row r="6" spans="1:11" ht="15.6" x14ac:dyDescent="0.3">
      <c r="A6" s="2" t="s">
        <v>4</v>
      </c>
      <c r="B6" s="2" t="s">
        <v>17</v>
      </c>
      <c r="C6" s="2" t="s">
        <v>18</v>
      </c>
      <c r="D6" s="2" t="s">
        <v>19</v>
      </c>
      <c r="F6" s="2" t="s">
        <v>20</v>
      </c>
      <c r="G6" s="2" t="s">
        <v>5</v>
      </c>
      <c r="H6" s="2" t="s">
        <v>86</v>
      </c>
      <c r="I6" s="2" t="s">
        <v>91</v>
      </c>
    </row>
    <row r="7" spans="1:11" ht="15.6" x14ac:dyDescent="0.3">
      <c r="A7" s="2" t="s">
        <v>20</v>
      </c>
      <c r="B7" s="2" t="s">
        <v>5</v>
      </c>
      <c r="C7" s="2" t="s">
        <v>21</v>
      </c>
      <c r="D7" s="2" t="s">
        <v>22</v>
      </c>
    </row>
    <row r="8" spans="1:11" ht="15.6" x14ac:dyDescent="0.3">
      <c r="A8" s="2" t="s">
        <v>20</v>
      </c>
      <c r="B8" s="2" t="s">
        <v>8</v>
      </c>
      <c r="C8" s="2" t="s">
        <v>23</v>
      </c>
      <c r="D8" s="2" t="s">
        <v>24</v>
      </c>
    </row>
    <row r="9" spans="1:11" ht="15.6" x14ac:dyDescent="0.3">
      <c r="A9" s="2" t="s">
        <v>20</v>
      </c>
      <c r="B9" s="2" t="s">
        <v>11</v>
      </c>
      <c r="C9" s="2" t="s">
        <v>25</v>
      </c>
      <c r="D9" s="2" t="s">
        <v>26</v>
      </c>
    </row>
    <row r="10" spans="1:11" ht="15.6" x14ac:dyDescent="0.3">
      <c r="A10" s="2" t="s">
        <v>20</v>
      </c>
      <c r="B10" s="2" t="s">
        <v>14</v>
      </c>
      <c r="C10" s="2" t="s">
        <v>27</v>
      </c>
      <c r="D10" s="2" t="s">
        <v>28</v>
      </c>
    </row>
    <row r="11" spans="1:11" ht="15.6" x14ac:dyDescent="0.3">
      <c r="A11" s="2" t="s">
        <v>20</v>
      </c>
      <c r="B11" s="2" t="s">
        <v>17</v>
      </c>
      <c r="C11" s="2" t="s">
        <v>29</v>
      </c>
      <c r="D11" s="2" t="s">
        <v>30</v>
      </c>
    </row>
    <row r="12" spans="1:11" ht="15.6" x14ac:dyDescent="0.3">
      <c r="A12" s="2" t="s">
        <v>31</v>
      </c>
      <c r="B12" s="2" t="s">
        <v>5</v>
      </c>
      <c r="C12" s="2" t="s">
        <v>32</v>
      </c>
      <c r="D12" s="2" t="s">
        <v>33</v>
      </c>
    </row>
    <row r="13" spans="1:11" ht="15.6" x14ac:dyDescent="0.3">
      <c r="A13" s="2" t="s">
        <v>31</v>
      </c>
      <c r="B13" s="2" t="s">
        <v>8</v>
      </c>
      <c r="C13" s="2" t="s">
        <v>34</v>
      </c>
      <c r="D13" s="2" t="s">
        <v>35</v>
      </c>
    </row>
    <row r="14" spans="1:11" ht="15.6" x14ac:dyDescent="0.3">
      <c r="A14" s="2" t="s">
        <v>31</v>
      </c>
      <c r="B14" s="2" t="s">
        <v>11</v>
      </c>
      <c r="C14" s="2" t="s">
        <v>36</v>
      </c>
      <c r="D14" s="2" t="s">
        <v>37</v>
      </c>
    </row>
    <row r="15" spans="1:11" ht="15.6" x14ac:dyDescent="0.3">
      <c r="A15" s="2" t="s">
        <v>31</v>
      </c>
      <c r="B15" s="2" t="s">
        <v>14</v>
      </c>
      <c r="C15" s="2" t="s">
        <v>38</v>
      </c>
      <c r="D15" s="2" t="s">
        <v>39</v>
      </c>
    </row>
    <row r="16" spans="1:11" ht="15.6" x14ac:dyDescent="0.3">
      <c r="A16" s="2" t="s">
        <v>31</v>
      </c>
      <c r="B16" s="2" t="s">
        <v>17</v>
      </c>
      <c r="C16" s="2" t="s">
        <v>40</v>
      </c>
      <c r="D16" s="2" t="s">
        <v>41</v>
      </c>
    </row>
    <row r="17" spans="1:4" ht="15.6" x14ac:dyDescent="0.3">
      <c r="A17" s="2" t="s">
        <v>42</v>
      </c>
      <c r="B17" s="2" t="s">
        <v>5</v>
      </c>
      <c r="C17" s="2" t="s">
        <v>43</v>
      </c>
      <c r="D17" s="2" t="s">
        <v>44</v>
      </c>
    </row>
    <row r="18" spans="1:4" ht="15.6" x14ac:dyDescent="0.3">
      <c r="A18" s="2" t="s">
        <v>42</v>
      </c>
      <c r="B18" s="2" t="s">
        <v>8</v>
      </c>
      <c r="C18" s="2" t="s">
        <v>45</v>
      </c>
      <c r="D18" s="2" t="s">
        <v>46</v>
      </c>
    </row>
    <row r="19" spans="1:4" ht="15.6" x14ac:dyDescent="0.3">
      <c r="A19" s="2" t="s">
        <v>42</v>
      </c>
      <c r="B19" s="2" t="s">
        <v>11</v>
      </c>
      <c r="C19" s="2" t="s">
        <v>47</v>
      </c>
      <c r="D19" s="2" t="s">
        <v>48</v>
      </c>
    </row>
    <row r="20" spans="1:4" ht="15.6" x14ac:dyDescent="0.3">
      <c r="A20" s="2" t="s">
        <v>42</v>
      </c>
      <c r="B20" s="2" t="s">
        <v>14</v>
      </c>
      <c r="C20" s="2" t="s">
        <v>49</v>
      </c>
      <c r="D20" s="2" t="s">
        <v>50</v>
      </c>
    </row>
    <row r="21" spans="1:4" ht="15.6" x14ac:dyDescent="0.3">
      <c r="A21" s="2" t="s">
        <v>42</v>
      </c>
      <c r="B21" s="2" t="s">
        <v>17</v>
      </c>
      <c r="C21" s="2" t="s">
        <v>51</v>
      </c>
      <c r="D21" s="2" t="s">
        <v>52</v>
      </c>
    </row>
    <row r="22" spans="1:4" ht="15.6" x14ac:dyDescent="0.3">
      <c r="A22" s="2" t="s">
        <v>53</v>
      </c>
      <c r="B22" s="2" t="s">
        <v>5</v>
      </c>
      <c r="C22" s="2" t="s">
        <v>54</v>
      </c>
      <c r="D22" s="2" t="s">
        <v>55</v>
      </c>
    </row>
    <row r="23" spans="1:4" ht="15.6" x14ac:dyDescent="0.3">
      <c r="A23" s="2" t="s">
        <v>53</v>
      </c>
      <c r="B23" s="2" t="s">
        <v>8</v>
      </c>
      <c r="C23" s="2" t="s">
        <v>56</v>
      </c>
      <c r="D23" s="2" t="s">
        <v>57</v>
      </c>
    </row>
    <row r="24" spans="1:4" ht="15.6" x14ac:dyDescent="0.3">
      <c r="A24" s="2" t="s">
        <v>53</v>
      </c>
      <c r="B24" s="2" t="s">
        <v>11</v>
      </c>
      <c r="C24" s="2" t="s">
        <v>58</v>
      </c>
      <c r="D24" s="2" t="s">
        <v>59</v>
      </c>
    </row>
    <row r="25" spans="1:4" ht="15.6" x14ac:dyDescent="0.3">
      <c r="A25" s="2" t="s">
        <v>53</v>
      </c>
      <c r="B25" s="2" t="s">
        <v>14</v>
      </c>
      <c r="C25" s="2" t="s">
        <v>60</v>
      </c>
      <c r="D25" s="2" t="s">
        <v>61</v>
      </c>
    </row>
    <row r="26" spans="1:4" ht="15.6" x14ac:dyDescent="0.3">
      <c r="A26" s="2" t="s">
        <v>53</v>
      </c>
      <c r="B26" s="2" t="s">
        <v>17</v>
      </c>
      <c r="C26" s="2" t="s">
        <v>62</v>
      </c>
      <c r="D26"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3F82-8281-46F8-8DE1-6B28A62FA318}">
  <dimension ref="A1:V20"/>
  <sheetViews>
    <sheetView tabSelected="1" workbookViewId="0">
      <selection activeCell="F18" sqref="F18"/>
    </sheetView>
  </sheetViews>
  <sheetFormatPr defaultRowHeight="13.8" x14ac:dyDescent="0.25"/>
  <cols>
    <col min="1" max="1" width="19.21875" style="3" bestFit="1" customWidth="1"/>
    <col min="2" max="2" width="17.6640625" style="3" bestFit="1" customWidth="1"/>
    <col min="3" max="3" width="12" style="3" customWidth="1"/>
    <col min="4" max="5" width="10.33203125" style="3" bestFit="1" customWidth="1"/>
    <col min="6" max="18" width="8.88671875" style="3"/>
    <col min="19" max="19" width="11" style="3" customWidth="1"/>
    <col min="20" max="16384" width="8.88671875" style="3"/>
  </cols>
  <sheetData>
    <row r="1" spans="1:22" ht="42.6" customHeight="1" x14ac:dyDescent="0.25">
      <c r="A1" s="15" t="s">
        <v>68</v>
      </c>
      <c r="B1" s="15"/>
      <c r="C1" s="15"/>
      <c r="D1" s="15"/>
      <c r="E1" s="15"/>
      <c r="F1" s="15"/>
      <c r="G1" s="15"/>
      <c r="H1" s="15"/>
      <c r="I1" s="15"/>
      <c r="J1" s="15"/>
      <c r="K1" s="15"/>
      <c r="L1" s="15"/>
      <c r="M1" s="15"/>
      <c r="N1" s="15"/>
      <c r="O1" s="15"/>
      <c r="P1" s="15"/>
      <c r="Q1" s="15"/>
      <c r="R1" s="15"/>
      <c r="S1" s="15"/>
      <c r="T1" s="15"/>
      <c r="U1" s="9"/>
      <c r="V1" s="9"/>
    </row>
    <row r="2" spans="1:22" x14ac:dyDescent="0.25">
      <c r="A2" s="14" t="s">
        <v>67</v>
      </c>
      <c r="B2" s="14"/>
      <c r="C2" s="14"/>
    </row>
    <row r="4" spans="1:22" x14ac:dyDescent="0.25">
      <c r="A4" s="16" t="s">
        <v>66</v>
      </c>
      <c r="B4" s="17"/>
      <c r="C4" s="17"/>
      <c r="D4" s="17"/>
      <c r="E4" s="17"/>
    </row>
    <row r="5" spans="1:22" x14ac:dyDescent="0.25">
      <c r="A5" s="13"/>
      <c r="B5" s="13"/>
      <c r="C5" s="13"/>
      <c r="D5" s="13"/>
      <c r="E5" s="13"/>
    </row>
    <row r="6" spans="1:22" x14ac:dyDescent="0.25">
      <c r="A6" s="7" t="s">
        <v>64</v>
      </c>
      <c r="B6" s="10" t="s">
        <v>105</v>
      </c>
      <c r="C6" s="10"/>
      <c r="D6" s="10"/>
      <c r="E6" s="10"/>
    </row>
    <row r="7" spans="1:22" x14ac:dyDescent="0.25">
      <c r="A7" s="7" t="s">
        <v>65</v>
      </c>
      <c r="B7" s="10" t="s">
        <v>70</v>
      </c>
      <c r="C7" s="10"/>
      <c r="D7" s="10"/>
      <c r="E7" s="10"/>
    </row>
    <row r="8" spans="1:22" x14ac:dyDescent="0.25">
      <c r="A8" s="7" t="s">
        <v>78</v>
      </c>
      <c r="B8" s="10" t="s">
        <v>106</v>
      </c>
      <c r="C8" s="10"/>
      <c r="D8" s="10"/>
      <c r="E8" s="10"/>
    </row>
    <row r="9" spans="1:22" x14ac:dyDescent="0.25">
      <c r="A9" s="7" t="s">
        <v>69</v>
      </c>
      <c r="B9" s="10" t="s">
        <v>75</v>
      </c>
      <c r="C9" s="10"/>
      <c r="D9" s="10"/>
      <c r="E9" s="10"/>
    </row>
    <row r="11" spans="1:22" x14ac:dyDescent="0.25">
      <c r="A11" s="11" t="s">
        <v>79</v>
      </c>
      <c r="B11" s="11"/>
      <c r="C11" s="11"/>
      <c r="D11" s="11"/>
      <c r="E11" s="11"/>
    </row>
    <row r="12" spans="1:22" x14ac:dyDescent="0.25">
      <c r="A12" s="13"/>
      <c r="B12" s="13"/>
      <c r="C12" s="13"/>
      <c r="D12" s="13"/>
      <c r="E12" s="13"/>
    </row>
    <row r="13" spans="1:22" ht="98.4" customHeight="1" x14ac:dyDescent="0.25">
      <c r="A13" s="12" t="s">
        <v>94</v>
      </c>
      <c r="B13" s="12"/>
      <c r="C13" s="12"/>
      <c r="D13" s="12"/>
      <c r="E13" s="12"/>
    </row>
    <row r="14" spans="1:22" x14ac:dyDescent="0.25">
      <c r="A14" s="13"/>
      <c r="B14" s="13"/>
      <c r="C14" s="13"/>
      <c r="D14" s="13"/>
      <c r="E14" s="13"/>
    </row>
    <row r="15" spans="1:22" x14ac:dyDescent="0.25">
      <c r="A15" s="8" t="s">
        <v>95</v>
      </c>
      <c r="B15" s="8" t="s">
        <v>96</v>
      </c>
      <c r="C15" s="8" t="s">
        <v>97</v>
      </c>
      <c r="D15" s="8" t="s">
        <v>98</v>
      </c>
      <c r="E15" s="8" t="s">
        <v>104</v>
      </c>
    </row>
    <row r="16" spans="1:22" x14ac:dyDescent="0.25">
      <c r="A16" s="6" t="s">
        <v>99</v>
      </c>
      <c r="B16" s="5" t="s">
        <v>83</v>
      </c>
      <c r="C16" s="5" t="s">
        <v>87</v>
      </c>
      <c r="D16" s="6" t="str">
        <f>_xlfn.IFNA(_xlfn.CONCAT(INDEX('REF SHEET'!$F$2:$F$6,MATCH(B16,'REF SHEET'!$H$2:$H$6,0)),";",INDEX('REF SHEET'!$G$2:$G$6,MATCH(C16,'REF SHEET'!$I$2:$I$6,0))),"")</f>
        <v>VI;VH</v>
      </c>
      <c r="E16" s="5"/>
    </row>
    <row r="17" spans="1:5" x14ac:dyDescent="0.25">
      <c r="A17" s="6" t="s">
        <v>100</v>
      </c>
      <c r="B17" s="5" t="s">
        <v>83</v>
      </c>
      <c r="C17" s="5" t="s">
        <v>87</v>
      </c>
      <c r="D17" s="6" t="str">
        <f>_xlfn.IFNA(_xlfn.CONCAT(INDEX('REF SHEET'!$F$2:$F$6,MATCH(B17,'REF SHEET'!$H$2:$H$6,0)),";",INDEX('REF SHEET'!$G$2:$G$6,MATCH(C17,'REF SHEET'!$I$2:$I$6,0))),"")</f>
        <v>VI;VH</v>
      </c>
      <c r="E17" s="5"/>
    </row>
    <row r="18" spans="1:5" x14ac:dyDescent="0.25">
      <c r="A18" s="6" t="s">
        <v>102</v>
      </c>
      <c r="B18" s="5" t="s">
        <v>83</v>
      </c>
      <c r="C18" s="5" t="s">
        <v>87</v>
      </c>
      <c r="D18" s="6" t="str">
        <f>_xlfn.IFNA(_xlfn.CONCAT(INDEX('REF SHEET'!$F$2:$F$6,MATCH(B18,'REF SHEET'!$H$2:$H$6,0)),";",INDEX('REF SHEET'!$G$2:$G$6,MATCH(C18,'REF SHEET'!$I$2:$I$6,0))),"")</f>
        <v>VI;VH</v>
      </c>
      <c r="E18" s="5"/>
    </row>
    <row r="19" spans="1:5" x14ac:dyDescent="0.25">
      <c r="A19" s="6" t="s">
        <v>101</v>
      </c>
      <c r="B19" s="5" t="s">
        <v>83</v>
      </c>
      <c r="C19" s="5" t="s">
        <v>87</v>
      </c>
      <c r="D19" s="6" t="str">
        <f>_xlfn.IFNA(_xlfn.CONCAT(INDEX('REF SHEET'!$F$2:$F$6,MATCH(B19,'REF SHEET'!$H$2:$H$6,0)),";",INDEX('REF SHEET'!$G$2:$G$6,MATCH(C19,'REF SHEET'!$I$2:$I$6,0))),"")</f>
        <v>VI;VH</v>
      </c>
      <c r="E19" s="5"/>
    </row>
    <row r="20" spans="1:5" x14ac:dyDescent="0.25">
      <c r="A20" s="6" t="s">
        <v>103</v>
      </c>
      <c r="B20" s="5" t="s">
        <v>83</v>
      </c>
      <c r="C20" s="5" t="s">
        <v>87</v>
      </c>
      <c r="D20" s="6" t="str">
        <f>_xlfn.IFNA(_xlfn.CONCAT(INDEX('REF SHEET'!$F$2:$F$6,MATCH(B20,'REF SHEET'!$H$2:$H$6,0)),";",INDEX('REF SHEET'!$G$2:$G$6,MATCH(C20,'REF SHEET'!$I$2:$I$6,0))),"")</f>
        <v>VI;VH</v>
      </c>
      <c r="E20" s="5"/>
    </row>
  </sheetData>
  <mergeCells count="12">
    <mergeCell ref="B8:E8"/>
    <mergeCell ref="A2:C2"/>
    <mergeCell ref="A1:T1"/>
    <mergeCell ref="A4:E4"/>
    <mergeCell ref="A5:E5"/>
    <mergeCell ref="B6:E6"/>
    <mergeCell ref="B7:E7"/>
    <mergeCell ref="B9:E9"/>
    <mergeCell ref="A11:E11"/>
    <mergeCell ref="A13:E13"/>
    <mergeCell ref="A12:E12"/>
    <mergeCell ref="A14:E14"/>
  </mergeCells>
  <dataValidations count="1">
    <dataValidation allowBlank="1" showInputMessage="1" showErrorMessage="1" promptTitle="Example:" prompt="Nguyễn Văn A_x000a_" sqref="B6:E6" xr:uid="{D185ADD3-C280-4E1F-89F5-7495A756D9DA}"/>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promptTitle="Note" prompt="Please choose from dropdown list" xr:uid="{E8EE8C60-9314-42A1-8C68-6C0C38BFAE12}">
          <x14:formula1>
            <xm:f>'REF SHEET'!$J$2:$J$5</xm:f>
          </x14:formula1>
          <xm:sqref>B7:E7</xm:sqref>
        </x14:dataValidation>
        <x14:dataValidation type="list" allowBlank="1" showInputMessage="1" showErrorMessage="1" promptTitle="Note" prompt="Please choose from dropdown list" xr:uid="{D14EBC3D-DAC3-492D-958D-17EAD905E2F7}">
          <x14:formula1>
            <xm:f>'REF SHEET'!$K$2:$K$5</xm:f>
          </x14:formula1>
          <xm:sqref>B9:E9</xm:sqref>
        </x14:dataValidation>
        <x14:dataValidation type="list" allowBlank="1" showInputMessage="1" showErrorMessage="1" promptTitle="Note" prompt="Please select value from Assessment Scale" xr:uid="{3A105757-5233-4792-B7A5-73D9B256B8FC}">
          <x14:formula1>
            <xm:f>'REF SHEET'!$H$2:$H$6</xm:f>
          </x14:formula1>
          <xm:sqref>B16:B20</xm:sqref>
        </x14:dataValidation>
        <x14:dataValidation type="list" allowBlank="1" showInputMessage="1" showErrorMessage="1" promptTitle="Note" prompt="Please select value from Reability Scale" xr:uid="{6066337A-CCCE-4552-9B46-9667C4971490}">
          <x14:formula1>
            <xm:f>'REF SHEET'!$I$2:$I$6</xm:f>
          </x14:formula1>
          <xm:sqref>C16:C20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 SHEET</vt:lpstr>
      <vt:lpstr>AnswerSheet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Thế Vũ Phạm</dc:creator>
  <cp:lastModifiedBy>Thế Vũ Phạm</cp:lastModifiedBy>
  <dcterms:created xsi:type="dcterms:W3CDTF">2015-06-05T18:17:20Z</dcterms:created>
  <dcterms:modified xsi:type="dcterms:W3CDTF">2025-06-10T02:41:21Z</dcterms:modified>
</cp:coreProperties>
</file>