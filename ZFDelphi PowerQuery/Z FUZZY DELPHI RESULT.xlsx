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Desktop\Research\VBAFuzzy\ZFDelphi PowerQuery\"/>
    </mc:Choice>
  </mc:AlternateContent>
  <xr:revisionPtr revIDLastSave="0" documentId="13_ncr:1_{27ADC7FF-492A-43BF-AAAA-B3C83A610A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 DELPHI" sheetId="2" r:id="rId1"/>
    <sheet name="REF" sheetId="3" r:id="rId2"/>
    <sheet name="DELPHI CALCULATION" sheetId="1" r:id="rId3"/>
  </sheets>
  <definedNames>
    <definedName name="ExternalData_1" localSheetId="0" hidden="1">'RAW DATA DELPHI'!$A$1:$C$101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6" i="1" l="1"/>
  <c r="AB41" i="3"/>
  <c r="V39" i="3"/>
  <c r="Y39" i="3" s="1"/>
  <c r="W39" i="3"/>
  <c r="AA39" i="3" s="1"/>
  <c r="X39" i="3"/>
  <c r="U49" i="3"/>
  <c r="T49" i="3"/>
  <c r="S49" i="3"/>
  <c r="R49" i="3"/>
  <c r="Q53" i="3"/>
  <c r="P53" i="3"/>
  <c r="O53" i="3"/>
  <c r="N53" i="3"/>
  <c r="M49" i="3"/>
  <c r="L49" i="3"/>
  <c r="K49" i="3"/>
  <c r="J49" i="3"/>
  <c r="I53" i="3"/>
  <c r="H53" i="3"/>
  <c r="G53" i="3"/>
  <c r="F53" i="3"/>
  <c r="E49" i="3"/>
  <c r="D49" i="3"/>
  <c r="C49" i="3"/>
  <c r="B49" i="3"/>
  <c r="U52" i="3"/>
  <c r="T52" i="3"/>
  <c r="S52" i="3"/>
  <c r="R52" i="3"/>
  <c r="Q48" i="3"/>
  <c r="P48" i="3"/>
  <c r="O48" i="3"/>
  <c r="N48" i="3"/>
  <c r="M52" i="3"/>
  <c r="L52" i="3"/>
  <c r="K52" i="3"/>
  <c r="J52" i="3"/>
  <c r="I48" i="3"/>
  <c r="H48" i="3"/>
  <c r="G48" i="3"/>
  <c r="F48" i="3"/>
  <c r="E52" i="3"/>
  <c r="D52" i="3"/>
  <c r="C52" i="3"/>
  <c r="B52" i="3"/>
  <c r="Z39" i="3" l="1"/>
  <c r="AB39" i="3" s="1"/>
  <c r="F44" i="3"/>
  <c r="N44" i="3"/>
  <c r="B45" i="3"/>
  <c r="J45" i="3"/>
  <c r="R45" i="3"/>
  <c r="B48" i="3"/>
  <c r="J48" i="3"/>
  <c r="R48" i="3"/>
  <c r="F49" i="3"/>
  <c r="W40" i="3" s="1"/>
  <c r="N49" i="3"/>
  <c r="F52" i="3"/>
  <c r="N52" i="3"/>
  <c r="B53" i="3"/>
  <c r="J53" i="3"/>
  <c r="R53" i="3"/>
  <c r="G44" i="3"/>
  <c r="O44" i="3"/>
  <c r="C45" i="3"/>
  <c r="K45" i="3"/>
  <c r="S45" i="3"/>
  <c r="C48" i="3"/>
  <c r="K48" i="3"/>
  <c r="S48" i="3"/>
  <c r="G49" i="3"/>
  <c r="O49" i="3"/>
  <c r="G52" i="3"/>
  <c r="O52" i="3"/>
  <c r="C53" i="3"/>
  <c r="K53" i="3"/>
  <c r="S53" i="3"/>
  <c r="H44" i="3"/>
  <c r="P44" i="3"/>
  <c r="D45" i="3"/>
  <c r="L45" i="3"/>
  <c r="T45" i="3"/>
  <c r="D48" i="3"/>
  <c r="L48" i="3"/>
  <c r="T48" i="3"/>
  <c r="H49" i="3"/>
  <c r="P49" i="3"/>
  <c r="H52" i="3"/>
  <c r="P52" i="3"/>
  <c r="D53" i="3"/>
  <c r="L53" i="3"/>
  <c r="T53" i="3"/>
  <c r="I44" i="3"/>
  <c r="Q44" i="3"/>
  <c r="E45" i="3"/>
  <c r="M45" i="3"/>
  <c r="U45" i="3"/>
  <c r="E48" i="3"/>
  <c r="M48" i="3"/>
  <c r="U48" i="3"/>
  <c r="I49" i="3"/>
  <c r="Q49" i="3"/>
  <c r="I52" i="3"/>
  <c r="Q52" i="3"/>
  <c r="E53" i="3"/>
  <c r="M53" i="3"/>
  <c r="U53" i="3"/>
  <c r="B44" i="3"/>
  <c r="J44" i="3"/>
  <c r="R44" i="3"/>
  <c r="F45" i="3"/>
  <c r="N45" i="3"/>
  <c r="C44" i="3"/>
  <c r="K44" i="3"/>
  <c r="S44" i="3"/>
  <c r="G45" i="3"/>
  <c r="O45" i="3"/>
  <c r="D44" i="3"/>
  <c r="L44" i="3"/>
  <c r="T44" i="3"/>
  <c r="H45" i="3"/>
  <c r="P45" i="3"/>
  <c r="E44" i="3"/>
  <c r="M44" i="3"/>
  <c r="U44" i="3"/>
  <c r="I45" i="3"/>
  <c r="Q45" i="3"/>
  <c r="X40" i="3" l="1"/>
  <c r="Z40" i="3" s="1"/>
  <c r="V40" i="3"/>
  <c r="Y40" i="3"/>
  <c r="AA40" i="3"/>
  <c r="AB40" i="3" s="1"/>
  <c r="G3" i="2" l="1"/>
  <c r="B4" i="1" s="1"/>
  <c r="B12" i="1" s="1"/>
  <c r="G4" i="2"/>
  <c r="B5" i="1" s="1"/>
  <c r="B13" i="1" s="1"/>
  <c r="G5" i="2"/>
  <c r="B6" i="1" s="1"/>
  <c r="B14" i="1" s="1"/>
  <c r="G6" i="2"/>
  <c r="B7" i="1" s="1"/>
  <c r="B15" i="1" s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2" i="2"/>
  <c r="B3" i="1" s="1"/>
  <c r="B11" i="1" s="1"/>
  <c r="D2" i="3"/>
  <c r="E2" i="3"/>
  <c r="F2" i="3"/>
  <c r="G2" i="3"/>
  <c r="H2" i="3"/>
  <c r="I2" i="3"/>
  <c r="J2" i="3"/>
  <c r="J3" i="1" s="1"/>
  <c r="J11" i="1" s="1"/>
  <c r="K2" i="3"/>
  <c r="L2" i="3"/>
  <c r="M2" i="3"/>
  <c r="N2" i="3"/>
  <c r="O2" i="3"/>
  <c r="P2" i="3"/>
  <c r="Q2" i="3"/>
  <c r="R2" i="3"/>
  <c r="R3" i="1" s="1"/>
  <c r="R11" i="1" s="1"/>
  <c r="S2" i="3"/>
  <c r="T2" i="3"/>
  <c r="U2" i="3"/>
  <c r="D3" i="3"/>
  <c r="E3" i="3"/>
  <c r="E4" i="1" s="1"/>
  <c r="E12" i="1" s="1"/>
  <c r="F3" i="3"/>
  <c r="G3" i="3"/>
  <c r="G4" i="1" s="1"/>
  <c r="G12" i="1" s="1"/>
  <c r="H3" i="3"/>
  <c r="I3" i="3"/>
  <c r="I4" i="1" s="1"/>
  <c r="I12" i="1" s="1"/>
  <c r="J3" i="3"/>
  <c r="K3" i="3"/>
  <c r="K4" i="1" s="1"/>
  <c r="K12" i="1" s="1"/>
  <c r="L3" i="3"/>
  <c r="M3" i="3"/>
  <c r="M4" i="1" s="1"/>
  <c r="M12" i="1" s="1"/>
  <c r="N3" i="3"/>
  <c r="O3" i="3"/>
  <c r="O4" i="1" s="1"/>
  <c r="O12" i="1" s="1"/>
  <c r="P3" i="3"/>
  <c r="Q3" i="3"/>
  <c r="Q4" i="1" s="1"/>
  <c r="Q12" i="1" s="1"/>
  <c r="R3" i="3"/>
  <c r="S3" i="3"/>
  <c r="S4" i="1" s="1"/>
  <c r="S12" i="1" s="1"/>
  <c r="T3" i="3"/>
  <c r="U3" i="3"/>
  <c r="U4" i="1" s="1"/>
  <c r="U12" i="1" s="1"/>
  <c r="D4" i="3"/>
  <c r="D5" i="1" s="1"/>
  <c r="D13" i="1" s="1"/>
  <c r="E4" i="3"/>
  <c r="F4" i="3"/>
  <c r="F5" i="1" s="1"/>
  <c r="F13" i="1" s="1"/>
  <c r="G4" i="3"/>
  <c r="H4" i="3"/>
  <c r="I4" i="3"/>
  <c r="I5" i="1" s="1"/>
  <c r="I13" i="1" s="1"/>
  <c r="J4" i="3"/>
  <c r="K4" i="3"/>
  <c r="L4" i="3"/>
  <c r="L5" i="1" s="1"/>
  <c r="L13" i="1" s="1"/>
  <c r="M4" i="3"/>
  <c r="N4" i="3"/>
  <c r="N5" i="1" s="1"/>
  <c r="N13" i="1" s="1"/>
  <c r="O4" i="3"/>
  <c r="P4" i="3"/>
  <c r="Q4" i="3"/>
  <c r="Q5" i="1" s="1"/>
  <c r="Q13" i="1" s="1"/>
  <c r="R4" i="3"/>
  <c r="S4" i="3"/>
  <c r="T4" i="3"/>
  <c r="T5" i="1" s="1"/>
  <c r="T13" i="1" s="1"/>
  <c r="U4" i="3"/>
  <c r="D5" i="3"/>
  <c r="D6" i="1" s="1"/>
  <c r="D14" i="1" s="1"/>
  <c r="E5" i="3"/>
  <c r="F5" i="3"/>
  <c r="G5" i="3"/>
  <c r="G6" i="1" s="1"/>
  <c r="G14" i="1" s="1"/>
  <c r="H5" i="3"/>
  <c r="I5" i="3"/>
  <c r="J5" i="3"/>
  <c r="K5" i="3"/>
  <c r="K6" i="1" s="1"/>
  <c r="K14" i="1" s="1"/>
  <c r="L5" i="3"/>
  <c r="L6" i="1" s="1"/>
  <c r="L14" i="1" s="1"/>
  <c r="M5" i="3"/>
  <c r="N5" i="3"/>
  <c r="O5" i="3"/>
  <c r="P5" i="3"/>
  <c r="Q5" i="3"/>
  <c r="R5" i="3"/>
  <c r="S5" i="3"/>
  <c r="S6" i="1" s="1"/>
  <c r="S14" i="1" s="1"/>
  <c r="T5" i="3"/>
  <c r="T6" i="1" s="1"/>
  <c r="T14" i="1" s="1"/>
  <c r="U5" i="3"/>
  <c r="D6" i="3"/>
  <c r="E6" i="3"/>
  <c r="F6" i="3"/>
  <c r="G6" i="3"/>
  <c r="G7" i="1" s="1"/>
  <c r="G15" i="1" s="1"/>
  <c r="H6" i="3"/>
  <c r="I6" i="3"/>
  <c r="I7" i="1" s="1"/>
  <c r="I15" i="1" s="1"/>
  <c r="J6" i="3"/>
  <c r="J7" i="1" s="1"/>
  <c r="J15" i="1" s="1"/>
  <c r="K6" i="3"/>
  <c r="K7" i="1" s="1"/>
  <c r="K15" i="1" s="1"/>
  <c r="L6" i="3"/>
  <c r="M6" i="3"/>
  <c r="N6" i="3"/>
  <c r="O6" i="3"/>
  <c r="O7" i="1" s="1"/>
  <c r="O15" i="1" s="1"/>
  <c r="P6" i="3"/>
  <c r="Q6" i="3"/>
  <c r="Q7" i="1" s="1"/>
  <c r="Q15" i="1" s="1"/>
  <c r="R6" i="3"/>
  <c r="R7" i="1" s="1"/>
  <c r="R15" i="1" s="1"/>
  <c r="S6" i="3"/>
  <c r="S7" i="1" s="1"/>
  <c r="S15" i="1" s="1"/>
  <c r="T6" i="3"/>
  <c r="U6" i="3"/>
  <c r="C3" i="3"/>
  <c r="C4" i="3"/>
  <c r="C5" i="3"/>
  <c r="C6" i="1" s="1"/>
  <c r="C14" i="1" s="1"/>
  <c r="C6" i="3"/>
  <c r="C7" i="1" s="1"/>
  <c r="C15" i="1" s="1"/>
  <c r="C2" i="3"/>
  <c r="C3" i="1" s="1"/>
  <c r="C11" i="1" s="1"/>
  <c r="O6" i="1" l="1"/>
  <c r="O14" i="1" s="1"/>
  <c r="I6" i="1"/>
  <c r="I14" i="1" s="1"/>
  <c r="Q6" i="1"/>
  <c r="Q14" i="1" s="1"/>
  <c r="C4" i="1"/>
  <c r="C12" i="1" s="1"/>
  <c r="T7" i="1"/>
  <c r="T15" i="1" s="1"/>
  <c r="L7" i="1"/>
  <c r="L15" i="1" s="1"/>
  <c r="D7" i="1"/>
  <c r="D15" i="1" s="1"/>
  <c r="D23" i="1" s="1"/>
  <c r="U6" i="1"/>
  <c r="U14" i="1" s="1"/>
  <c r="U29" i="1" s="1"/>
  <c r="M6" i="1"/>
  <c r="M14" i="1" s="1"/>
  <c r="E6" i="1"/>
  <c r="E14" i="1" s="1"/>
  <c r="O5" i="1"/>
  <c r="O13" i="1" s="1"/>
  <c r="G5" i="1"/>
  <c r="G13" i="1" s="1"/>
  <c r="S3" i="1"/>
  <c r="S11" i="1" s="1"/>
  <c r="K3" i="1"/>
  <c r="K11" i="1" s="1"/>
  <c r="P7" i="1"/>
  <c r="P15" i="1" s="1"/>
  <c r="P23" i="1" s="1"/>
  <c r="H7" i="1"/>
  <c r="H15" i="1" s="1"/>
  <c r="H30" i="1" s="1"/>
  <c r="R6" i="1"/>
  <c r="R14" i="1" s="1"/>
  <c r="J6" i="1"/>
  <c r="J14" i="1" s="1"/>
  <c r="N4" i="1"/>
  <c r="N12" i="1" s="1"/>
  <c r="F4" i="1"/>
  <c r="F12" i="1" s="1"/>
  <c r="P3" i="1"/>
  <c r="P11" i="1" s="1"/>
  <c r="H3" i="1"/>
  <c r="H11" i="1" s="1"/>
  <c r="N7" i="1"/>
  <c r="N15" i="1" s="1"/>
  <c r="N37" i="1" s="1"/>
  <c r="F7" i="1"/>
  <c r="F15" i="1" s="1"/>
  <c r="F30" i="1" s="1"/>
  <c r="P6" i="1"/>
  <c r="P14" i="1" s="1"/>
  <c r="H6" i="1"/>
  <c r="H14" i="1" s="1"/>
  <c r="H29" i="1" s="1"/>
  <c r="R5" i="1"/>
  <c r="R13" i="1" s="1"/>
  <c r="R21" i="1" s="1"/>
  <c r="J5" i="1"/>
  <c r="J13" i="1" s="1"/>
  <c r="T4" i="1"/>
  <c r="T12" i="1" s="1"/>
  <c r="L4" i="1"/>
  <c r="L12" i="1" s="1"/>
  <c r="L34" i="1" s="1"/>
  <c r="D4" i="1"/>
  <c r="D12" i="1" s="1"/>
  <c r="D34" i="1" s="1"/>
  <c r="U7" i="1"/>
  <c r="U15" i="1" s="1"/>
  <c r="U30" i="1" s="1"/>
  <c r="M7" i="1"/>
  <c r="M15" i="1" s="1"/>
  <c r="E7" i="1"/>
  <c r="E15" i="1" s="1"/>
  <c r="P5" i="1"/>
  <c r="P13" i="1" s="1"/>
  <c r="P21" i="1" s="1"/>
  <c r="H5" i="1"/>
  <c r="H13" i="1" s="1"/>
  <c r="U5" i="1"/>
  <c r="U13" i="1" s="1"/>
  <c r="M5" i="1"/>
  <c r="M13" i="1" s="1"/>
  <c r="E5" i="1"/>
  <c r="E13" i="1" s="1"/>
  <c r="N6" i="1"/>
  <c r="N14" i="1" s="1"/>
  <c r="N36" i="1" s="1"/>
  <c r="F6" i="1"/>
  <c r="F14" i="1" s="1"/>
  <c r="R4" i="1"/>
  <c r="R12" i="1" s="1"/>
  <c r="R34" i="1" s="1"/>
  <c r="J4" i="1"/>
  <c r="J12" i="1" s="1"/>
  <c r="J34" i="1" s="1"/>
  <c r="T3" i="1"/>
  <c r="T11" i="1" s="1"/>
  <c r="T26" i="1" s="1"/>
  <c r="L3" i="1"/>
  <c r="L11" i="1" s="1"/>
  <c r="D3" i="1"/>
  <c r="D11" i="1" s="1"/>
  <c r="D33" i="1" s="1"/>
  <c r="P4" i="1"/>
  <c r="P12" i="1" s="1"/>
  <c r="P27" i="1" s="1"/>
  <c r="H4" i="1"/>
  <c r="H12" i="1" s="1"/>
  <c r="H27" i="1" s="1"/>
  <c r="C5" i="1"/>
  <c r="C13" i="1" s="1"/>
  <c r="C35" i="1" s="1"/>
  <c r="S5" i="1"/>
  <c r="S13" i="1" s="1"/>
  <c r="S35" i="1" s="1"/>
  <c r="K5" i="1"/>
  <c r="K13" i="1" s="1"/>
  <c r="K21" i="1" s="1"/>
  <c r="Q3" i="1"/>
  <c r="Q11" i="1" s="1"/>
  <c r="I3" i="1"/>
  <c r="I11" i="1" s="1"/>
  <c r="O3" i="1"/>
  <c r="O11" i="1" s="1"/>
  <c r="O33" i="1" s="1"/>
  <c r="G3" i="1"/>
  <c r="G11" i="1" s="1"/>
  <c r="G26" i="1" s="1"/>
  <c r="N3" i="1"/>
  <c r="N11" i="1" s="1"/>
  <c r="N33" i="1" s="1"/>
  <c r="F3" i="1"/>
  <c r="F11" i="1" s="1"/>
  <c r="F33" i="1" s="1"/>
  <c r="U3" i="1"/>
  <c r="U11" i="1" s="1"/>
  <c r="U33" i="1" s="1"/>
  <c r="M3" i="1"/>
  <c r="M11" i="1" s="1"/>
  <c r="M33" i="1" s="1"/>
  <c r="E3" i="1"/>
  <c r="E11" i="1" s="1"/>
  <c r="E33" i="1" s="1"/>
  <c r="O30" i="1"/>
  <c r="O37" i="1"/>
  <c r="O23" i="1"/>
  <c r="G30" i="1"/>
  <c r="G37" i="1"/>
  <c r="G23" i="1"/>
  <c r="Q36" i="1"/>
  <c r="Q29" i="1"/>
  <c r="Q22" i="1"/>
  <c r="I36" i="1"/>
  <c r="I29" i="1"/>
  <c r="I22" i="1"/>
  <c r="K35" i="1"/>
  <c r="U34" i="1"/>
  <c r="U20" i="1"/>
  <c r="U27" i="1"/>
  <c r="M34" i="1"/>
  <c r="M20" i="1"/>
  <c r="M27" i="1"/>
  <c r="E34" i="1"/>
  <c r="E20" i="1"/>
  <c r="E27" i="1"/>
  <c r="C34" i="1"/>
  <c r="C20" i="1"/>
  <c r="C27" i="1"/>
  <c r="P36" i="1"/>
  <c r="P29" i="1"/>
  <c r="P22" i="1"/>
  <c r="H36" i="1"/>
  <c r="H22" i="1"/>
  <c r="R35" i="1"/>
  <c r="R28" i="1"/>
  <c r="J21" i="1"/>
  <c r="J35" i="1"/>
  <c r="J28" i="1"/>
  <c r="T34" i="1"/>
  <c r="T20" i="1"/>
  <c r="T27" i="1"/>
  <c r="L27" i="1"/>
  <c r="D27" i="1"/>
  <c r="O36" i="1"/>
  <c r="O29" i="1"/>
  <c r="O22" i="1"/>
  <c r="G36" i="1"/>
  <c r="G22" i="1"/>
  <c r="G29" i="1"/>
  <c r="Q28" i="1"/>
  <c r="Q35" i="1"/>
  <c r="Q21" i="1"/>
  <c r="I28" i="1"/>
  <c r="I35" i="1"/>
  <c r="I21" i="1"/>
  <c r="S34" i="1"/>
  <c r="S20" i="1"/>
  <c r="S27" i="1"/>
  <c r="K27" i="1"/>
  <c r="K34" i="1"/>
  <c r="K20" i="1"/>
  <c r="U26" i="1"/>
  <c r="M19" i="1"/>
  <c r="E26" i="1"/>
  <c r="L30" i="1"/>
  <c r="L37" i="1"/>
  <c r="L23" i="1"/>
  <c r="D37" i="1"/>
  <c r="F36" i="1"/>
  <c r="F29" i="1"/>
  <c r="F22" i="1"/>
  <c r="P35" i="1"/>
  <c r="H35" i="1"/>
  <c r="H21" i="1"/>
  <c r="H28" i="1"/>
  <c r="R20" i="1"/>
  <c r="R27" i="1"/>
  <c r="J27" i="1"/>
  <c r="T33" i="1"/>
  <c r="T19" i="1"/>
  <c r="L33" i="1"/>
  <c r="L19" i="1"/>
  <c r="L26" i="1"/>
  <c r="D19" i="1"/>
  <c r="E30" i="1"/>
  <c r="E37" i="1"/>
  <c r="E23" i="1"/>
  <c r="S30" i="1"/>
  <c r="S37" i="1"/>
  <c r="S23" i="1"/>
  <c r="K30" i="1"/>
  <c r="K37" i="1"/>
  <c r="K23" i="1"/>
  <c r="U36" i="1"/>
  <c r="M36" i="1"/>
  <c r="M29" i="1"/>
  <c r="M22" i="1"/>
  <c r="E36" i="1"/>
  <c r="E29" i="1"/>
  <c r="E22" i="1"/>
  <c r="O35" i="1"/>
  <c r="O21" i="1"/>
  <c r="O28" i="1"/>
  <c r="G35" i="1"/>
  <c r="G21" i="1"/>
  <c r="G28" i="1"/>
  <c r="Q34" i="1"/>
  <c r="Q20" i="1"/>
  <c r="Q27" i="1"/>
  <c r="I34" i="1"/>
  <c r="I20" i="1"/>
  <c r="I27" i="1"/>
  <c r="S26" i="1"/>
  <c r="S33" i="1"/>
  <c r="S19" i="1"/>
  <c r="K26" i="1"/>
  <c r="K33" i="1"/>
  <c r="K19" i="1"/>
  <c r="T37" i="1"/>
  <c r="T23" i="1"/>
  <c r="T30" i="1"/>
  <c r="C26" i="1"/>
  <c r="C33" i="1"/>
  <c r="C19" i="1"/>
  <c r="T36" i="1"/>
  <c r="T29" i="1"/>
  <c r="T22" i="1"/>
  <c r="L36" i="1"/>
  <c r="L29" i="1"/>
  <c r="L22" i="1"/>
  <c r="D36" i="1"/>
  <c r="D29" i="1"/>
  <c r="D22" i="1"/>
  <c r="N35" i="1"/>
  <c r="N21" i="1"/>
  <c r="N28" i="1"/>
  <c r="F35" i="1"/>
  <c r="F21" i="1"/>
  <c r="F28" i="1"/>
  <c r="P20" i="1"/>
  <c r="R26" i="1"/>
  <c r="R33" i="1"/>
  <c r="R19" i="1"/>
  <c r="J26" i="1"/>
  <c r="J33" i="1"/>
  <c r="J19" i="1"/>
  <c r="C30" i="1"/>
  <c r="C37" i="1"/>
  <c r="C23" i="1"/>
  <c r="Q30" i="1"/>
  <c r="Q37" i="1"/>
  <c r="Q23" i="1"/>
  <c r="I30" i="1"/>
  <c r="I37" i="1"/>
  <c r="I23" i="1"/>
  <c r="S36" i="1"/>
  <c r="S29" i="1"/>
  <c r="S22" i="1"/>
  <c r="K36" i="1"/>
  <c r="K29" i="1"/>
  <c r="K22" i="1"/>
  <c r="U28" i="1"/>
  <c r="U21" i="1"/>
  <c r="U35" i="1"/>
  <c r="M28" i="1"/>
  <c r="M21" i="1"/>
  <c r="M35" i="1"/>
  <c r="E28" i="1"/>
  <c r="E21" i="1"/>
  <c r="E35" i="1"/>
  <c r="O27" i="1"/>
  <c r="O34" i="1"/>
  <c r="O20" i="1"/>
  <c r="G27" i="1"/>
  <c r="G34" i="1"/>
  <c r="G20" i="1"/>
  <c r="Q26" i="1"/>
  <c r="Q33" i="1"/>
  <c r="Q19" i="1"/>
  <c r="I26" i="1"/>
  <c r="I33" i="1"/>
  <c r="I19" i="1"/>
  <c r="M30" i="1"/>
  <c r="M37" i="1"/>
  <c r="M23" i="1"/>
  <c r="C36" i="1"/>
  <c r="C29" i="1"/>
  <c r="C22" i="1"/>
  <c r="P37" i="1"/>
  <c r="R22" i="1"/>
  <c r="R36" i="1"/>
  <c r="R29" i="1"/>
  <c r="J36" i="1"/>
  <c r="J29" i="1"/>
  <c r="J22" i="1"/>
  <c r="T35" i="1"/>
  <c r="T28" i="1"/>
  <c r="T21" i="1"/>
  <c r="L35" i="1"/>
  <c r="L21" i="1"/>
  <c r="L28" i="1"/>
  <c r="D35" i="1"/>
  <c r="D28" i="1"/>
  <c r="D21" i="1"/>
  <c r="N34" i="1"/>
  <c r="N20" i="1"/>
  <c r="N27" i="1"/>
  <c r="F34" i="1"/>
  <c r="F20" i="1"/>
  <c r="F27" i="1"/>
  <c r="P19" i="1"/>
  <c r="P33" i="1"/>
  <c r="P26" i="1"/>
  <c r="H33" i="1"/>
  <c r="H19" i="1"/>
  <c r="H26" i="1"/>
  <c r="J30" i="1"/>
  <c r="J37" i="1"/>
  <c r="J23" i="1"/>
  <c r="R30" i="1"/>
  <c r="R37" i="1"/>
  <c r="R23" i="1"/>
  <c r="B37" i="1"/>
  <c r="B23" i="1"/>
  <c r="B30" i="1"/>
  <c r="B33" i="1"/>
  <c r="B19" i="1"/>
  <c r="B26" i="1"/>
  <c r="B36" i="1"/>
  <c r="B22" i="1"/>
  <c r="B29" i="1"/>
  <c r="B28" i="1"/>
  <c r="B35" i="1"/>
  <c r="B21" i="1"/>
  <c r="B27" i="1"/>
  <c r="B34" i="1"/>
  <c r="B20" i="1"/>
  <c r="S28" i="1" l="1"/>
  <c r="U23" i="1"/>
  <c r="N22" i="1"/>
  <c r="U37" i="1"/>
  <c r="N26" i="1"/>
  <c r="H23" i="1"/>
  <c r="H37" i="1"/>
  <c r="N29" i="1"/>
  <c r="W14" i="1" s="1"/>
  <c r="N19" i="1"/>
  <c r="O19" i="1"/>
  <c r="F23" i="1"/>
  <c r="H20" i="1"/>
  <c r="F37" i="1"/>
  <c r="H34" i="1"/>
  <c r="U22" i="1"/>
  <c r="U19" i="1"/>
  <c r="N30" i="1"/>
  <c r="S21" i="1"/>
  <c r="D20" i="1"/>
  <c r="P30" i="1"/>
  <c r="J20" i="1"/>
  <c r="V12" i="1" s="1"/>
  <c r="P28" i="1"/>
  <c r="D30" i="1"/>
  <c r="E19" i="1"/>
  <c r="N23" i="1"/>
  <c r="V15" i="1" s="1"/>
  <c r="K28" i="1"/>
  <c r="F19" i="1"/>
  <c r="L20" i="1"/>
  <c r="C28" i="1"/>
  <c r="G19" i="1"/>
  <c r="D26" i="1"/>
  <c r="O26" i="1"/>
  <c r="P34" i="1"/>
  <c r="X12" i="1" s="1"/>
  <c r="G33" i="1"/>
  <c r="X11" i="1" s="1"/>
  <c r="C21" i="1"/>
  <c r="V13" i="1" s="1"/>
  <c r="M26" i="1"/>
  <c r="F26" i="1"/>
  <c r="X15" i="1"/>
  <c r="V14" i="1"/>
  <c r="X14" i="1"/>
  <c r="X13" i="1"/>
  <c r="W12" i="1"/>
  <c r="Z14" i="1" l="1"/>
  <c r="W15" i="1"/>
  <c r="Z15" i="1" s="1"/>
  <c r="Y15" i="1"/>
  <c r="W11" i="1"/>
  <c r="W13" i="1"/>
  <c r="Z13" i="1" s="1"/>
  <c r="Y12" i="1"/>
  <c r="Z11" i="1"/>
  <c r="V11" i="1"/>
  <c r="AA11" i="1" s="1"/>
  <c r="AB11" i="1" s="1"/>
  <c r="AC11" i="1" s="1"/>
  <c r="AA14" i="1"/>
  <c r="AB14" i="1" s="1"/>
  <c r="AC14" i="1" s="1"/>
  <c r="AA15" i="1"/>
  <c r="AA12" i="1"/>
  <c r="Y14" i="1"/>
  <c r="AA13" i="1"/>
  <c r="Y13" i="1"/>
  <c r="Y11" i="1"/>
  <c r="Z12" i="1"/>
  <c r="AB12" i="1" l="1"/>
  <c r="AC12" i="1" s="1"/>
  <c r="AB13" i="1"/>
  <c r="AC13" i="1" s="1"/>
  <c r="AB15" i="1"/>
  <c r="AC1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027702-DA95-444E-A086-16E33F985385}" keepAlive="1" name="Query - DATA DELPHI" description="Connection to the 'DATA DELPHI' query in the workbook." type="5" refreshedVersion="8" background="1" saveData="1">
    <dbPr connection="Provider=Microsoft.Mashup.OleDb.1;Data Source=$Workbook$;Location=&quot;DATA DELPHI&quot;;Extended Properties=&quot;&quot;" command="SELECT * FROM [DATA DELPHI]"/>
  </connection>
  <connection id="2" xr16:uid="{C1AFEE9D-F7AF-4EAF-9BA7-AF191473560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A3398B1B-BEB0-4686-AA00-BBF29815D1B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99CCC581-C5F4-4F9F-BF49-4878BA9DAED8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A0787FEA-E346-4882-A4D7-6661E017A862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<sst xmlns="http://schemas.openxmlformats.org/spreadsheetml/2006/main" count="538" uniqueCount="93">
  <si>
    <t>Expert</t>
  </si>
  <si>
    <t>QUESTIONNAIRE ON THE RELEVANCE AND INFLUENCE OF FACTORS AFFECTING CONSUMERS’ INTENTION TO PURCHASE LUXURY FASHION</t>
  </si>
  <si>
    <t>Evaluate</t>
  </si>
  <si>
    <t>Intergrity</t>
  </si>
  <si>
    <t>FI;M</t>
  </si>
  <si>
    <t>Subjective Norm</t>
  </si>
  <si>
    <t>VI;VH</t>
  </si>
  <si>
    <t>Price-quality Inference</t>
  </si>
  <si>
    <t>VI;H</t>
  </si>
  <si>
    <t>Ethical Concern</t>
  </si>
  <si>
    <t>AI;VH</t>
  </si>
  <si>
    <t>Product Evaluation</t>
  </si>
  <si>
    <t>AI;H</t>
  </si>
  <si>
    <t>FI;VH</t>
  </si>
  <si>
    <t>VI;M</t>
  </si>
  <si>
    <t>FI;H</t>
  </si>
  <si>
    <t>FI;L</t>
  </si>
  <si>
    <t>AI;M</t>
  </si>
  <si>
    <t>WI;VH</t>
  </si>
  <si>
    <t>CODED DATA</t>
  </si>
  <si>
    <t>F</t>
  </si>
  <si>
    <t>R</t>
  </si>
  <si>
    <t>F:R</t>
  </si>
  <si>
    <t>Z-Fuzzy</t>
  </si>
  <si>
    <t>AI</t>
  </si>
  <si>
    <t>VL</t>
  </si>
  <si>
    <t>AI;VL</t>
  </si>
  <si>
    <t>(0,0949; 0,1265; 0,1265)</t>
  </si>
  <si>
    <t>L</t>
  </si>
  <si>
    <t>AI;L</t>
  </si>
  <si>
    <t>(0,1643; 0,2191; 0,2191)</t>
  </si>
  <si>
    <t>M</t>
  </si>
  <si>
    <t>(0,2121; 0,2828; 0,2828)</t>
  </si>
  <si>
    <t>H</t>
  </si>
  <si>
    <t>(0,251; 0,3347; 0,3347)</t>
  </si>
  <si>
    <t>VH</t>
  </si>
  <si>
    <t>(0,2846; 0,3795; 0,3795)</t>
  </si>
  <si>
    <t>NI</t>
  </si>
  <si>
    <t>NI;VL</t>
  </si>
  <si>
    <t>(0; 0; 0,0316)</t>
  </si>
  <si>
    <t>NI;L</t>
  </si>
  <si>
    <t>(0; 0; 0,0548)</t>
  </si>
  <si>
    <t>NI;M</t>
  </si>
  <si>
    <t>(0; 0; 0,0707)</t>
  </si>
  <si>
    <t>NI;H</t>
  </si>
  <si>
    <t>(0; 0; 0,0837)</t>
  </si>
  <si>
    <t>NI;VH</t>
  </si>
  <si>
    <t>(0; 0; 0,0949)</t>
  </si>
  <si>
    <t>FI</t>
  </si>
  <si>
    <t>FI;VL</t>
  </si>
  <si>
    <t>(0,0316; 0,0632; 0,0949)</t>
  </si>
  <si>
    <t>(0,0548; 0,1095; 0,1643)</t>
  </si>
  <si>
    <t>(0,0707; 0,1414; 0,2121)</t>
  </si>
  <si>
    <t>(0,0837; 0,1673; 0,251)</t>
  </si>
  <si>
    <t>(0,0949; 0,1897; 0,2846)</t>
  </si>
  <si>
    <t>VI</t>
  </si>
  <si>
    <t>VI;VL</t>
  </si>
  <si>
    <t>(0,0632; 0,0949; 0,1265)</t>
  </si>
  <si>
    <t>VI;L</t>
  </si>
  <si>
    <t>(0,1095; 0,1643; 0,2191)</t>
  </si>
  <si>
    <t>(0,1414; 0,2121; 0,2828)</t>
  </si>
  <si>
    <t>(0,1673; 0,251; 0,3347)</t>
  </si>
  <si>
    <t>(0,1897; 0,2846; 0,3795)</t>
  </si>
  <si>
    <t>WI</t>
  </si>
  <si>
    <t>WI;VL</t>
  </si>
  <si>
    <t>(0; 0,0316; 0,0632)</t>
  </si>
  <si>
    <t>WI;L</t>
  </si>
  <si>
    <t>(0; 0,0548; 0,1095)</t>
  </si>
  <si>
    <t>WI;M</t>
  </si>
  <si>
    <t>(0; 0,0707; 0,1414)</t>
  </si>
  <si>
    <t>WI;H</t>
  </si>
  <si>
    <t>(0; 0,0837; 0,1673)</t>
  </si>
  <si>
    <t>(0; 0,0949; 0,1897)</t>
  </si>
  <si>
    <t>U</t>
  </si>
  <si>
    <t>AGG L</t>
  </si>
  <si>
    <t>AGG M</t>
  </si>
  <si>
    <t>AGG U</t>
  </si>
  <si>
    <t>AGG</t>
  </si>
  <si>
    <t>Kmax, K min</t>
  </si>
  <si>
    <t>Tv</t>
  </si>
  <si>
    <t>Dv</t>
  </si>
  <si>
    <t>Kv</t>
  </si>
  <si>
    <t>CALCULATE TO FUZZY</t>
  </si>
  <si>
    <t>MAX</t>
  </si>
  <si>
    <t>MIN</t>
  </si>
  <si>
    <t>Threhold</t>
  </si>
  <si>
    <t>Validate</t>
  </si>
  <si>
    <t>(0,0707; 0,2504; 0,3795)</t>
  </si>
  <si>
    <t>Accepted</t>
  </si>
  <si>
    <t>(0,0548; 0,2537; 0,3795)</t>
  </si>
  <si>
    <t>(0; 0,2289; 0,3795)</t>
  </si>
  <si>
    <t>(0,0707; 0,255; 0,3795)</t>
  </si>
  <si>
    <t>(0,0837; 0,2631; 0,3795)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</si>
</sst>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0" borderId="0" xfId="0" applyFont="1"/>
    <xf numFmtId="0" fontId="3" fillId="3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C6DA07-9FB0-44AD-B8CC-F45AFC26AFE2}" autoFormatId="16" applyNumberFormats="0" applyBorderFormats="0" applyFontFormats="0" applyPatternFormats="0" applyAlignmentFormats="0" applyWidthHeightFormats="0">
  <queryTableRefresh nextId="4">
    <queryTableFields count="3">
      <queryTableField id="1" name="Expert" tableColumnId="1"/>
      <queryTableField id="2" name="QUESTIONNAIRE ON THE RELEVANCE AND INFLUENCE OF FACTORS AFFECTING CONSUMERS’ INTENTION TO PURCHASE LUXURY FASHION" tableColumnId="2"/>
      <queryTableField id="3" name="Evaluat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BBA637-42CC-4830-A856-3CE71627F885}" name="DATA_DELPHI" displayName="DATA_DELPHI" ref="A1:C101" tableType="queryTable" totalsRowShown="0">
  <autoFilter ref="A1:C101" xr:uid="{61BBA637-42CC-4830-A856-3CE71627F885}"/>
  <tableColumns count="3">
    <tableColumn id="1" xr3:uid="{4E02DC73-8A99-4E5D-B421-5E20DB650A8A}" uniqueName="1" name="Expert" queryTableFieldId="1" dataDxfId="0"/>
    <tableColumn id="2" xr3:uid="{24E2F9E9-11E8-4073-AB62-C2E338A33A1C}" uniqueName="2" name="QUESTIONNAIRE ON THE RELEVANCE AND INFLUENCE OF FACTORS AFFECTING CONSUMERS’ INTENTION TO PURCHASE LUXURY FASHION" queryTableFieldId="2"/>
    <tableColumn id="3" xr3:uid="{4040C742-ADAE-414A-BDEE-5E33A856078D}" uniqueName="3" name="Evaluate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8A475-ABAF-463D-A65F-849B67D09875}">
  <dimension ref="A1:G101"/>
  <sheetViews>
    <sheetView tabSelected="1" workbookViewId="0">
      <selection activeCell="B9" sqref="B9"/>
    </sheetView>
  </sheetViews>
  <sheetFormatPr defaultRowHeight="14.4" x14ac:dyDescent="0.3"/>
  <cols>
    <col min="1" max="1" width="8.6640625" bestFit="1" customWidth="1"/>
    <col min="2" max="2" width="80.88671875" bestFit="1" customWidth="1"/>
    <col min="3" max="3" width="10.5546875" bestFit="1" customWidth="1"/>
    <col min="6" max="6" width="117.109375" bestFit="1" customWidth="1"/>
  </cols>
  <sheetData>
    <row r="1" spans="1:7" x14ac:dyDescent="0.3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3">
      <c r="A2">
        <v>1</v>
      </c>
      <c r="B2" t="s">
        <v>3</v>
      </c>
      <c r="C2" t="s">
        <v>6</v>
      </c>
      <c r="E2">
        <v>1</v>
      </c>
      <c r="F2" t="s">
        <v>3</v>
      </c>
      <c r="G2" t="str">
        <f>DATA_DELPHI[[#This Row],[Evaluate]]</f>
        <v>VI;VH</v>
      </c>
    </row>
    <row r="3" spans="1:7" x14ac:dyDescent="0.3">
      <c r="A3">
        <v>1</v>
      </c>
      <c r="B3" t="s">
        <v>5</v>
      </c>
      <c r="C3" t="s">
        <v>6</v>
      </c>
      <c r="E3">
        <v>1</v>
      </c>
      <c r="F3" t="s">
        <v>5</v>
      </c>
      <c r="G3" t="str">
        <f>DATA_DELPHI[[#This Row],[Evaluate]]</f>
        <v>VI;VH</v>
      </c>
    </row>
    <row r="4" spans="1:7" x14ac:dyDescent="0.3">
      <c r="A4">
        <v>1</v>
      </c>
      <c r="B4" t="s">
        <v>7</v>
      </c>
      <c r="C4" t="s">
        <v>6</v>
      </c>
      <c r="E4">
        <v>1</v>
      </c>
      <c r="F4" t="s">
        <v>7</v>
      </c>
      <c r="G4" t="str">
        <f>DATA_DELPHI[[#This Row],[Evaluate]]</f>
        <v>VI;VH</v>
      </c>
    </row>
    <row r="5" spans="1:7" x14ac:dyDescent="0.3">
      <c r="A5">
        <v>1</v>
      </c>
      <c r="B5" t="s">
        <v>9</v>
      </c>
      <c r="C5" t="s">
        <v>6</v>
      </c>
      <c r="E5">
        <v>1</v>
      </c>
      <c r="F5" t="s">
        <v>9</v>
      </c>
      <c r="G5" t="str">
        <f>DATA_DELPHI[[#This Row],[Evaluate]]</f>
        <v>VI;VH</v>
      </c>
    </row>
    <row r="6" spans="1:7" x14ac:dyDescent="0.3">
      <c r="A6">
        <v>1</v>
      </c>
      <c r="B6" t="s">
        <v>11</v>
      </c>
      <c r="C6" t="s">
        <v>6</v>
      </c>
      <c r="E6">
        <v>1</v>
      </c>
      <c r="F6" t="s">
        <v>11</v>
      </c>
      <c r="G6" t="str">
        <f>DATA_DELPHI[[#This Row],[Evaluate]]</f>
        <v>VI;VH</v>
      </c>
    </row>
    <row r="7" spans="1:7" x14ac:dyDescent="0.3">
      <c r="A7">
        <v>2</v>
      </c>
      <c r="B7" t="s">
        <v>3</v>
      </c>
      <c r="C7" t="s">
        <v>10</v>
      </c>
      <c r="E7">
        <v>2</v>
      </c>
      <c r="F7" t="s">
        <v>3</v>
      </c>
      <c r="G7" t="str">
        <f>DATA_DELPHI[[#This Row],[Evaluate]]</f>
        <v>AI;VH</v>
      </c>
    </row>
    <row r="8" spans="1:7" x14ac:dyDescent="0.3">
      <c r="A8">
        <v>2</v>
      </c>
      <c r="B8" t="s">
        <v>5</v>
      </c>
      <c r="C8" t="s">
        <v>12</v>
      </c>
      <c r="E8">
        <v>2</v>
      </c>
      <c r="F8" t="s">
        <v>5</v>
      </c>
      <c r="G8" t="str">
        <f>DATA_DELPHI[[#This Row],[Evaluate]]</f>
        <v>AI;H</v>
      </c>
    </row>
    <row r="9" spans="1:7" x14ac:dyDescent="0.3">
      <c r="A9">
        <v>2</v>
      </c>
      <c r="B9" t="s">
        <v>7</v>
      </c>
      <c r="C9" t="s">
        <v>13</v>
      </c>
      <c r="E9">
        <v>2</v>
      </c>
      <c r="F9" t="s">
        <v>7</v>
      </c>
      <c r="G9" t="str">
        <f>DATA_DELPHI[[#This Row],[Evaluate]]</f>
        <v>FI;VH</v>
      </c>
    </row>
    <row r="10" spans="1:7" x14ac:dyDescent="0.3">
      <c r="A10">
        <v>2</v>
      </c>
      <c r="B10" t="s">
        <v>9</v>
      </c>
      <c r="C10" t="s">
        <v>14</v>
      </c>
      <c r="E10">
        <v>2</v>
      </c>
      <c r="F10" t="s">
        <v>9</v>
      </c>
      <c r="G10" t="str">
        <f>DATA_DELPHI[[#This Row],[Evaluate]]</f>
        <v>VI;M</v>
      </c>
    </row>
    <row r="11" spans="1:7" x14ac:dyDescent="0.3">
      <c r="A11">
        <v>2</v>
      </c>
      <c r="B11" t="s">
        <v>11</v>
      </c>
      <c r="C11" t="s">
        <v>6</v>
      </c>
      <c r="E11">
        <v>2</v>
      </c>
      <c r="F11" t="s">
        <v>11</v>
      </c>
      <c r="G11" t="str">
        <f>DATA_DELPHI[[#This Row],[Evaluate]]</f>
        <v>VI;VH</v>
      </c>
    </row>
    <row r="12" spans="1:7" x14ac:dyDescent="0.3">
      <c r="A12">
        <v>3</v>
      </c>
      <c r="B12" t="s">
        <v>3</v>
      </c>
      <c r="C12" t="s">
        <v>8</v>
      </c>
      <c r="E12">
        <v>3</v>
      </c>
      <c r="F12" t="s">
        <v>3</v>
      </c>
      <c r="G12" t="str">
        <f>DATA_DELPHI[[#This Row],[Evaluate]]</f>
        <v>VI;H</v>
      </c>
    </row>
    <row r="13" spans="1:7" x14ac:dyDescent="0.3">
      <c r="A13">
        <v>3</v>
      </c>
      <c r="B13" t="s">
        <v>5</v>
      </c>
      <c r="C13" t="s">
        <v>12</v>
      </c>
      <c r="E13">
        <v>3</v>
      </c>
      <c r="F13" t="s">
        <v>5</v>
      </c>
      <c r="G13" t="str">
        <f>DATA_DELPHI[[#This Row],[Evaluate]]</f>
        <v>AI;H</v>
      </c>
    </row>
    <row r="14" spans="1:7" x14ac:dyDescent="0.3">
      <c r="A14">
        <v>3</v>
      </c>
      <c r="B14" t="s">
        <v>7</v>
      </c>
      <c r="C14" t="s">
        <v>10</v>
      </c>
      <c r="E14">
        <v>3</v>
      </c>
      <c r="F14" t="s">
        <v>7</v>
      </c>
      <c r="G14" t="str">
        <f>DATA_DELPHI[[#This Row],[Evaluate]]</f>
        <v>AI;VH</v>
      </c>
    </row>
    <row r="15" spans="1:7" x14ac:dyDescent="0.3">
      <c r="A15">
        <v>3</v>
      </c>
      <c r="B15" t="s">
        <v>9</v>
      </c>
      <c r="C15" t="s">
        <v>13</v>
      </c>
      <c r="E15">
        <v>3</v>
      </c>
      <c r="F15" t="s">
        <v>9</v>
      </c>
      <c r="G15" t="str">
        <f>DATA_DELPHI[[#This Row],[Evaluate]]</f>
        <v>FI;VH</v>
      </c>
    </row>
    <row r="16" spans="1:7" x14ac:dyDescent="0.3">
      <c r="A16">
        <v>3</v>
      </c>
      <c r="B16" t="s">
        <v>11</v>
      </c>
      <c r="C16" t="s">
        <v>15</v>
      </c>
      <c r="E16">
        <v>3</v>
      </c>
      <c r="F16" t="s">
        <v>11</v>
      </c>
      <c r="G16" t="str">
        <f>DATA_DELPHI[[#This Row],[Evaluate]]</f>
        <v>FI;H</v>
      </c>
    </row>
    <row r="17" spans="1:7" x14ac:dyDescent="0.3">
      <c r="A17">
        <v>4</v>
      </c>
      <c r="B17" t="s">
        <v>3</v>
      </c>
      <c r="C17" t="s">
        <v>15</v>
      </c>
      <c r="E17">
        <v>4</v>
      </c>
      <c r="F17" t="s">
        <v>3</v>
      </c>
      <c r="G17" t="str">
        <f>DATA_DELPHI[[#This Row],[Evaluate]]</f>
        <v>FI;H</v>
      </c>
    </row>
    <row r="18" spans="1:7" x14ac:dyDescent="0.3">
      <c r="A18">
        <v>4</v>
      </c>
      <c r="B18" t="s">
        <v>5</v>
      </c>
      <c r="C18" t="s">
        <v>14</v>
      </c>
      <c r="E18">
        <v>4</v>
      </c>
      <c r="F18" t="s">
        <v>5</v>
      </c>
      <c r="G18" t="str">
        <f>DATA_DELPHI[[#This Row],[Evaluate]]</f>
        <v>VI;M</v>
      </c>
    </row>
    <row r="19" spans="1:7" x14ac:dyDescent="0.3">
      <c r="A19">
        <v>4</v>
      </c>
      <c r="B19" t="s">
        <v>7</v>
      </c>
      <c r="C19" t="s">
        <v>12</v>
      </c>
      <c r="E19">
        <v>4</v>
      </c>
      <c r="F19" t="s">
        <v>7</v>
      </c>
      <c r="G19" t="str">
        <f>DATA_DELPHI[[#This Row],[Evaluate]]</f>
        <v>AI;H</v>
      </c>
    </row>
    <row r="20" spans="1:7" x14ac:dyDescent="0.3">
      <c r="A20">
        <v>4</v>
      </c>
      <c r="B20" t="s">
        <v>9</v>
      </c>
      <c r="C20" t="s">
        <v>6</v>
      </c>
      <c r="E20">
        <v>4</v>
      </c>
      <c r="F20" t="s">
        <v>9</v>
      </c>
      <c r="G20" t="str">
        <f>DATA_DELPHI[[#This Row],[Evaluate]]</f>
        <v>VI;VH</v>
      </c>
    </row>
    <row r="21" spans="1:7" x14ac:dyDescent="0.3">
      <c r="A21">
        <v>4</v>
      </c>
      <c r="B21" t="s">
        <v>11</v>
      </c>
      <c r="C21" t="s">
        <v>12</v>
      </c>
      <c r="E21">
        <v>4</v>
      </c>
      <c r="F21" t="s">
        <v>11</v>
      </c>
      <c r="G21" t="str">
        <f>DATA_DELPHI[[#This Row],[Evaluate]]</f>
        <v>AI;H</v>
      </c>
    </row>
    <row r="22" spans="1:7" x14ac:dyDescent="0.3">
      <c r="A22">
        <v>5</v>
      </c>
      <c r="B22" t="s">
        <v>3</v>
      </c>
      <c r="C22" t="s">
        <v>15</v>
      </c>
      <c r="E22">
        <v>5</v>
      </c>
      <c r="F22" t="s">
        <v>3</v>
      </c>
      <c r="G22" t="str">
        <f>DATA_DELPHI[[#This Row],[Evaluate]]</f>
        <v>FI;H</v>
      </c>
    </row>
    <row r="23" spans="1:7" x14ac:dyDescent="0.3">
      <c r="A23">
        <v>5</v>
      </c>
      <c r="B23" t="s">
        <v>5</v>
      </c>
      <c r="C23" t="s">
        <v>6</v>
      </c>
      <c r="E23">
        <v>5</v>
      </c>
      <c r="F23" t="s">
        <v>5</v>
      </c>
      <c r="G23" t="str">
        <f>DATA_DELPHI[[#This Row],[Evaluate]]</f>
        <v>VI;VH</v>
      </c>
    </row>
    <row r="24" spans="1:7" x14ac:dyDescent="0.3">
      <c r="A24">
        <v>5</v>
      </c>
      <c r="B24" t="s">
        <v>7</v>
      </c>
      <c r="C24" t="s">
        <v>15</v>
      </c>
      <c r="E24">
        <v>5</v>
      </c>
      <c r="F24" t="s">
        <v>7</v>
      </c>
      <c r="G24" t="str">
        <f>DATA_DELPHI[[#This Row],[Evaluate]]</f>
        <v>FI;H</v>
      </c>
    </row>
    <row r="25" spans="1:7" x14ac:dyDescent="0.3">
      <c r="A25">
        <v>5</v>
      </c>
      <c r="B25" t="s">
        <v>9</v>
      </c>
      <c r="C25" t="s">
        <v>10</v>
      </c>
      <c r="E25">
        <v>5</v>
      </c>
      <c r="F25" t="s">
        <v>9</v>
      </c>
      <c r="G25" t="str">
        <f>DATA_DELPHI[[#This Row],[Evaluate]]</f>
        <v>AI;VH</v>
      </c>
    </row>
    <row r="26" spans="1:7" x14ac:dyDescent="0.3">
      <c r="A26">
        <v>5</v>
      </c>
      <c r="B26" t="s">
        <v>11</v>
      </c>
      <c r="C26" t="s">
        <v>6</v>
      </c>
      <c r="E26">
        <v>5</v>
      </c>
      <c r="F26" t="s">
        <v>11</v>
      </c>
      <c r="G26" t="str">
        <f>DATA_DELPHI[[#This Row],[Evaluate]]</f>
        <v>VI;VH</v>
      </c>
    </row>
    <row r="27" spans="1:7" x14ac:dyDescent="0.3">
      <c r="A27">
        <v>6</v>
      </c>
      <c r="B27" t="s">
        <v>3</v>
      </c>
      <c r="C27" t="s">
        <v>10</v>
      </c>
      <c r="E27">
        <v>6</v>
      </c>
      <c r="F27" t="s">
        <v>3</v>
      </c>
      <c r="G27" t="str">
        <f>DATA_DELPHI[[#This Row],[Evaluate]]</f>
        <v>AI;VH</v>
      </c>
    </row>
    <row r="28" spans="1:7" x14ac:dyDescent="0.3">
      <c r="A28">
        <v>6</v>
      </c>
      <c r="B28" t="s">
        <v>5</v>
      </c>
      <c r="C28" t="s">
        <v>10</v>
      </c>
      <c r="E28">
        <v>6</v>
      </c>
      <c r="F28" t="s">
        <v>5</v>
      </c>
      <c r="G28" t="str">
        <f>DATA_DELPHI[[#This Row],[Evaluate]]</f>
        <v>AI;VH</v>
      </c>
    </row>
    <row r="29" spans="1:7" x14ac:dyDescent="0.3">
      <c r="A29">
        <v>6</v>
      </c>
      <c r="B29" t="s">
        <v>7</v>
      </c>
      <c r="C29" t="s">
        <v>10</v>
      </c>
      <c r="E29">
        <v>6</v>
      </c>
      <c r="F29" t="s">
        <v>7</v>
      </c>
      <c r="G29" t="str">
        <f>DATA_DELPHI[[#This Row],[Evaluate]]</f>
        <v>AI;VH</v>
      </c>
    </row>
    <row r="30" spans="1:7" x14ac:dyDescent="0.3">
      <c r="A30">
        <v>6</v>
      </c>
      <c r="B30" t="s">
        <v>9</v>
      </c>
      <c r="C30" t="s">
        <v>4</v>
      </c>
      <c r="E30">
        <v>6</v>
      </c>
      <c r="F30" t="s">
        <v>9</v>
      </c>
      <c r="G30" t="str">
        <f>DATA_DELPHI[[#This Row],[Evaluate]]</f>
        <v>FI;M</v>
      </c>
    </row>
    <row r="31" spans="1:7" x14ac:dyDescent="0.3">
      <c r="A31">
        <v>6</v>
      </c>
      <c r="B31" t="s">
        <v>11</v>
      </c>
      <c r="C31" t="s">
        <v>8</v>
      </c>
      <c r="E31">
        <v>6</v>
      </c>
      <c r="F31" t="s">
        <v>11</v>
      </c>
      <c r="G31" t="str">
        <f>DATA_DELPHI[[#This Row],[Evaluate]]</f>
        <v>VI;H</v>
      </c>
    </row>
    <row r="32" spans="1:7" x14ac:dyDescent="0.3">
      <c r="A32">
        <v>7</v>
      </c>
      <c r="B32" t="s">
        <v>3</v>
      </c>
      <c r="C32" t="s">
        <v>8</v>
      </c>
      <c r="E32">
        <v>7</v>
      </c>
      <c r="F32" t="s">
        <v>3</v>
      </c>
      <c r="G32" t="str">
        <f>DATA_DELPHI[[#This Row],[Evaluate]]</f>
        <v>VI;H</v>
      </c>
    </row>
    <row r="33" spans="1:7" x14ac:dyDescent="0.3">
      <c r="A33">
        <v>7</v>
      </c>
      <c r="B33" t="s">
        <v>5</v>
      </c>
      <c r="C33" t="s">
        <v>16</v>
      </c>
      <c r="E33">
        <v>7</v>
      </c>
      <c r="F33" t="s">
        <v>5</v>
      </c>
      <c r="G33" t="str">
        <f>DATA_DELPHI[[#This Row],[Evaluate]]</f>
        <v>FI;L</v>
      </c>
    </row>
    <row r="34" spans="1:7" x14ac:dyDescent="0.3">
      <c r="A34">
        <v>7</v>
      </c>
      <c r="B34" t="s">
        <v>7</v>
      </c>
      <c r="C34" t="s">
        <v>8</v>
      </c>
      <c r="E34">
        <v>7</v>
      </c>
      <c r="F34" t="s">
        <v>7</v>
      </c>
      <c r="G34" t="str">
        <f>DATA_DELPHI[[#This Row],[Evaluate]]</f>
        <v>VI;H</v>
      </c>
    </row>
    <row r="35" spans="1:7" x14ac:dyDescent="0.3">
      <c r="A35">
        <v>7</v>
      </c>
      <c r="B35" t="s">
        <v>9</v>
      </c>
      <c r="C35" t="s">
        <v>10</v>
      </c>
      <c r="E35">
        <v>7</v>
      </c>
      <c r="F35" t="s">
        <v>9</v>
      </c>
      <c r="G35" t="str">
        <f>DATA_DELPHI[[#This Row],[Evaluate]]</f>
        <v>AI;VH</v>
      </c>
    </row>
    <row r="36" spans="1:7" x14ac:dyDescent="0.3">
      <c r="A36">
        <v>7</v>
      </c>
      <c r="B36" t="s">
        <v>11</v>
      </c>
      <c r="C36" t="s">
        <v>10</v>
      </c>
      <c r="E36">
        <v>7</v>
      </c>
      <c r="F36" t="s">
        <v>11</v>
      </c>
      <c r="G36" t="str">
        <f>DATA_DELPHI[[#This Row],[Evaluate]]</f>
        <v>AI;VH</v>
      </c>
    </row>
    <row r="37" spans="1:7" x14ac:dyDescent="0.3">
      <c r="A37">
        <v>8</v>
      </c>
      <c r="B37" t="s">
        <v>3</v>
      </c>
      <c r="C37" t="s">
        <v>6</v>
      </c>
      <c r="E37">
        <v>8</v>
      </c>
      <c r="F37" t="s">
        <v>3</v>
      </c>
      <c r="G37" t="str">
        <f>DATA_DELPHI[[#This Row],[Evaluate]]</f>
        <v>VI;VH</v>
      </c>
    </row>
    <row r="38" spans="1:7" x14ac:dyDescent="0.3">
      <c r="A38">
        <v>8</v>
      </c>
      <c r="B38" t="s">
        <v>5</v>
      </c>
      <c r="C38" t="s">
        <v>8</v>
      </c>
      <c r="E38">
        <v>8</v>
      </c>
      <c r="F38" t="s">
        <v>5</v>
      </c>
      <c r="G38" t="str">
        <f>DATA_DELPHI[[#This Row],[Evaluate]]</f>
        <v>VI;H</v>
      </c>
    </row>
    <row r="39" spans="1:7" x14ac:dyDescent="0.3">
      <c r="A39">
        <v>8</v>
      </c>
      <c r="B39" t="s">
        <v>7</v>
      </c>
      <c r="C39" t="s">
        <v>16</v>
      </c>
      <c r="E39">
        <v>8</v>
      </c>
      <c r="F39" t="s">
        <v>7</v>
      </c>
      <c r="G39" t="str">
        <f>DATA_DELPHI[[#This Row],[Evaluate]]</f>
        <v>FI;L</v>
      </c>
    </row>
    <row r="40" spans="1:7" x14ac:dyDescent="0.3">
      <c r="A40">
        <v>8</v>
      </c>
      <c r="B40" t="s">
        <v>9</v>
      </c>
      <c r="C40" t="s">
        <v>6</v>
      </c>
      <c r="E40">
        <v>8</v>
      </c>
      <c r="F40" t="s">
        <v>9</v>
      </c>
      <c r="G40" t="str">
        <f>DATA_DELPHI[[#This Row],[Evaluate]]</f>
        <v>VI;VH</v>
      </c>
    </row>
    <row r="41" spans="1:7" x14ac:dyDescent="0.3">
      <c r="A41">
        <v>8</v>
      </c>
      <c r="B41" t="s">
        <v>11</v>
      </c>
      <c r="C41" t="s">
        <v>12</v>
      </c>
      <c r="E41">
        <v>8</v>
      </c>
      <c r="F41" t="s">
        <v>11</v>
      </c>
      <c r="G41" t="str">
        <f>DATA_DELPHI[[#This Row],[Evaluate]]</f>
        <v>AI;H</v>
      </c>
    </row>
    <row r="42" spans="1:7" x14ac:dyDescent="0.3">
      <c r="A42">
        <v>9</v>
      </c>
      <c r="B42" t="s">
        <v>3</v>
      </c>
      <c r="C42" t="s">
        <v>15</v>
      </c>
      <c r="E42">
        <v>9</v>
      </c>
      <c r="F42" t="s">
        <v>3</v>
      </c>
      <c r="G42" t="str">
        <f>DATA_DELPHI[[#This Row],[Evaluate]]</f>
        <v>FI;H</v>
      </c>
    </row>
    <row r="43" spans="1:7" x14ac:dyDescent="0.3">
      <c r="A43">
        <v>9</v>
      </c>
      <c r="B43" t="s">
        <v>5</v>
      </c>
      <c r="C43" t="s">
        <v>12</v>
      </c>
      <c r="E43">
        <v>9</v>
      </c>
      <c r="F43" t="s">
        <v>5</v>
      </c>
      <c r="G43" t="str">
        <f>DATA_DELPHI[[#This Row],[Evaluate]]</f>
        <v>AI;H</v>
      </c>
    </row>
    <row r="44" spans="1:7" x14ac:dyDescent="0.3">
      <c r="A44">
        <v>9</v>
      </c>
      <c r="B44" t="s">
        <v>7</v>
      </c>
      <c r="C44" t="s">
        <v>13</v>
      </c>
      <c r="E44">
        <v>9</v>
      </c>
      <c r="F44" t="s">
        <v>7</v>
      </c>
      <c r="G44" t="str">
        <f>DATA_DELPHI[[#This Row],[Evaluate]]</f>
        <v>FI;VH</v>
      </c>
    </row>
    <row r="45" spans="1:7" x14ac:dyDescent="0.3">
      <c r="A45">
        <v>9</v>
      </c>
      <c r="B45" t="s">
        <v>9</v>
      </c>
      <c r="C45" t="s">
        <v>14</v>
      </c>
      <c r="E45">
        <v>9</v>
      </c>
      <c r="F45" t="s">
        <v>9</v>
      </c>
      <c r="G45" t="str">
        <f>DATA_DELPHI[[#This Row],[Evaluate]]</f>
        <v>VI;M</v>
      </c>
    </row>
    <row r="46" spans="1:7" x14ac:dyDescent="0.3">
      <c r="A46">
        <v>9</v>
      </c>
      <c r="B46" t="s">
        <v>11</v>
      </c>
      <c r="C46" t="s">
        <v>6</v>
      </c>
      <c r="E46">
        <v>9</v>
      </c>
      <c r="F46" t="s">
        <v>11</v>
      </c>
      <c r="G46" t="str">
        <f>DATA_DELPHI[[#This Row],[Evaluate]]</f>
        <v>VI;VH</v>
      </c>
    </row>
    <row r="47" spans="1:7" x14ac:dyDescent="0.3">
      <c r="A47">
        <v>10</v>
      </c>
      <c r="B47" t="s">
        <v>3</v>
      </c>
      <c r="C47" t="s">
        <v>12</v>
      </c>
      <c r="E47">
        <v>10</v>
      </c>
      <c r="F47" t="s">
        <v>3</v>
      </c>
      <c r="G47" t="str">
        <f>DATA_DELPHI[[#This Row],[Evaluate]]</f>
        <v>AI;H</v>
      </c>
    </row>
    <row r="48" spans="1:7" x14ac:dyDescent="0.3">
      <c r="A48">
        <v>10</v>
      </c>
      <c r="B48" t="s">
        <v>5</v>
      </c>
      <c r="C48" t="s">
        <v>12</v>
      </c>
      <c r="E48">
        <v>10</v>
      </c>
      <c r="F48" t="s">
        <v>5</v>
      </c>
      <c r="G48" t="str">
        <f>DATA_DELPHI[[#This Row],[Evaluate]]</f>
        <v>AI;H</v>
      </c>
    </row>
    <row r="49" spans="1:7" x14ac:dyDescent="0.3">
      <c r="A49">
        <v>10</v>
      </c>
      <c r="B49" t="s">
        <v>7</v>
      </c>
      <c r="C49" t="s">
        <v>10</v>
      </c>
      <c r="E49">
        <v>10</v>
      </c>
      <c r="F49" t="s">
        <v>7</v>
      </c>
      <c r="G49" t="str">
        <f>DATA_DELPHI[[#This Row],[Evaluate]]</f>
        <v>AI;VH</v>
      </c>
    </row>
    <row r="50" spans="1:7" x14ac:dyDescent="0.3">
      <c r="A50">
        <v>10</v>
      </c>
      <c r="B50" t="s">
        <v>9</v>
      </c>
      <c r="C50" t="s">
        <v>6</v>
      </c>
      <c r="E50">
        <v>10</v>
      </c>
      <c r="F50" t="s">
        <v>9</v>
      </c>
      <c r="G50" t="str">
        <f>DATA_DELPHI[[#This Row],[Evaluate]]</f>
        <v>VI;VH</v>
      </c>
    </row>
    <row r="51" spans="1:7" x14ac:dyDescent="0.3">
      <c r="A51">
        <v>10</v>
      </c>
      <c r="B51" t="s">
        <v>11</v>
      </c>
      <c r="C51" t="s">
        <v>8</v>
      </c>
      <c r="E51">
        <v>10</v>
      </c>
      <c r="F51" t="s">
        <v>11</v>
      </c>
      <c r="G51" t="str">
        <f>DATA_DELPHI[[#This Row],[Evaluate]]</f>
        <v>VI;H</v>
      </c>
    </row>
    <row r="52" spans="1:7" x14ac:dyDescent="0.3">
      <c r="A52">
        <v>11</v>
      </c>
      <c r="B52" t="s">
        <v>3</v>
      </c>
      <c r="C52" t="s">
        <v>12</v>
      </c>
      <c r="E52">
        <v>11</v>
      </c>
      <c r="F52" t="s">
        <v>3</v>
      </c>
      <c r="G52" t="str">
        <f>DATA_DELPHI[[#This Row],[Evaluate]]</f>
        <v>AI;H</v>
      </c>
    </row>
    <row r="53" spans="1:7" x14ac:dyDescent="0.3">
      <c r="A53">
        <v>11</v>
      </c>
      <c r="B53" t="s">
        <v>5</v>
      </c>
      <c r="C53" t="s">
        <v>6</v>
      </c>
      <c r="E53">
        <v>11</v>
      </c>
      <c r="F53" t="s">
        <v>5</v>
      </c>
      <c r="G53" t="str">
        <f>DATA_DELPHI[[#This Row],[Evaluate]]</f>
        <v>VI;VH</v>
      </c>
    </row>
    <row r="54" spans="1:7" x14ac:dyDescent="0.3">
      <c r="A54">
        <v>11</v>
      </c>
      <c r="B54" t="s">
        <v>7</v>
      </c>
      <c r="C54" t="s">
        <v>10</v>
      </c>
      <c r="E54">
        <v>11</v>
      </c>
      <c r="F54" t="s">
        <v>7</v>
      </c>
      <c r="G54" t="str">
        <f>DATA_DELPHI[[#This Row],[Evaluate]]</f>
        <v>AI;VH</v>
      </c>
    </row>
    <row r="55" spans="1:7" x14ac:dyDescent="0.3">
      <c r="A55">
        <v>11</v>
      </c>
      <c r="B55" t="s">
        <v>9</v>
      </c>
      <c r="C55" t="s">
        <v>8</v>
      </c>
      <c r="E55">
        <v>11</v>
      </c>
      <c r="F55" t="s">
        <v>9</v>
      </c>
      <c r="G55" t="str">
        <f>DATA_DELPHI[[#This Row],[Evaluate]]</f>
        <v>VI;H</v>
      </c>
    </row>
    <row r="56" spans="1:7" x14ac:dyDescent="0.3">
      <c r="A56">
        <v>11</v>
      </c>
      <c r="B56" t="s">
        <v>11</v>
      </c>
      <c r="C56" t="s">
        <v>14</v>
      </c>
      <c r="E56">
        <v>11</v>
      </c>
      <c r="F56" t="s">
        <v>11</v>
      </c>
      <c r="G56" t="str">
        <f>DATA_DELPHI[[#This Row],[Evaluate]]</f>
        <v>VI;M</v>
      </c>
    </row>
    <row r="57" spans="1:7" x14ac:dyDescent="0.3">
      <c r="A57">
        <v>12</v>
      </c>
      <c r="B57" t="s">
        <v>3</v>
      </c>
      <c r="C57" t="s">
        <v>6</v>
      </c>
      <c r="E57">
        <v>12</v>
      </c>
      <c r="F57" t="s">
        <v>3</v>
      </c>
      <c r="G57" t="str">
        <f>DATA_DELPHI[[#This Row],[Evaluate]]</f>
        <v>VI;VH</v>
      </c>
    </row>
    <row r="58" spans="1:7" x14ac:dyDescent="0.3">
      <c r="A58">
        <v>12</v>
      </c>
      <c r="B58" t="s">
        <v>5</v>
      </c>
      <c r="C58" t="s">
        <v>12</v>
      </c>
      <c r="E58">
        <v>12</v>
      </c>
      <c r="F58" t="s">
        <v>5</v>
      </c>
      <c r="G58" t="str">
        <f>DATA_DELPHI[[#This Row],[Evaluate]]</f>
        <v>AI;H</v>
      </c>
    </row>
    <row r="59" spans="1:7" x14ac:dyDescent="0.3">
      <c r="A59">
        <v>12</v>
      </c>
      <c r="B59" t="s">
        <v>7</v>
      </c>
      <c r="C59" t="s">
        <v>13</v>
      </c>
      <c r="E59">
        <v>12</v>
      </c>
      <c r="F59" t="s">
        <v>7</v>
      </c>
      <c r="G59" t="str">
        <f>DATA_DELPHI[[#This Row],[Evaluate]]</f>
        <v>FI;VH</v>
      </c>
    </row>
    <row r="60" spans="1:7" x14ac:dyDescent="0.3">
      <c r="A60">
        <v>12</v>
      </c>
      <c r="B60" t="s">
        <v>9</v>
      </c>
      <c r="C60" t="s">
        <v>15</v>
      </c>
      <c r="E60">
        <v>12</v>
      </c>
      <c r="F60" t="s">
        <v>9</v>
      </c>
      <c r="G60" t="str">
        <f>DATA_DELPHI[[#This Row],[Evaluate]]</f>
        <v>FI;H</v>
      </c>
    </row>
    <row r="61" spans="1:7" x14ac:dyDescent="0.3">
      <c r="A61">
        <v>12</v>
      </c>
      <c r="B61" t="s">
        <v>11</v>
      </c>
      <c r="C61" t="s">
        <v>13</v>
      </c>
      <c r="E61">
        <v>12</v>
      </c>
      <c r="F61" t="s">
        <v>11</v>
      </c>
      <c r="G61" t="str">
        <f>DATA_DELPHI[[#This Row],[Evaluate]]</f>
        <v>FI;VH</v>
      </c>
    </row>
    <row r="62" spans="1:7" x14ac:dyDescent="0.3">
      <c r="A62">
        <v>13</v>
      </c>
      <c r="B62" t="s">
        <v>3</v>
      </c>
      <c r="C62" t="s">
        <v>10</v>
      </c>
      <c r="E62">
        <v>13</v>
      </c>
      <c r="F62" t="s">
        <v>3</v>
      </c>
      <c r="G62" t="str">
        <f>DATA_DELPHI[[#This Row],[Evaluate]]</f>
        <v>AI;VH</v>
      </c>
    </row>
    <row r="63" spans="1:7" x14ac:dyDescent="0.3">
      <c r="A63">
        <v>13</v>
      </c>
      <c r="B63" t="s">
        <v>5</v>
      </c>
      <c r="C63" t="s">
        <v>6</v>
      </c>
      <c r="E63">
        <v>13</v>
      </c>
      <c r="F63" t="s">
        <v>5</v>
      </c>
      <c r="G63" t="str">
        <f>DATA_DELPHI[[#This Row],[Evaluate]]</f>
        <v>VI;VH</v>
      </c>
    </row>
    <row r="64" spans="1:7" x14ac:dyDescent="0.3">
      <c r="A64">
        <v>13</v>
      </c>
      <c r="B64" t="s">
        <v>7</v>
      </c>
      <c r="C64" t="s">
        <v>14</v>
      </c>
      <c r="E64">
        <v>13</v>
      </c>
      <c r="F64" t="s">
        <v>7</v>
      </c>
      <c r="G64" t="str">
        <f>DATA_DELPHI[[#This Row],[Evaluate]]</f>
        <v>VI;M</v>
      </c>
    </row>
    <row r="65" spans="1:7" x14ac:dyDescent="0.3">
      <c r="A65">
        <v>13</v>
      </c>
      <c r="B65" t="s">
        <v>9</v>
      </c>
      <c r="C65" t="s">
        <v>6</v>
      </c>
      <c r="E65">
        <v>13</v>
      </c>
      <c r="F65" t="s">
        <v>9</v>
      </c>
      <c r="G65" t="str">
        <f>DATA_DELPHI[[#This Row],[Evaluate]]</f>
        <v>VI;VH</v>
      </c>
    </row>
    <row r="66" spans="1:7" x14ac:dyDescent="0.3">
      <c r="A66">
        <v>13</v>
      </c>
      <c r="B66" t="s">
        <v>11</v>
      </c>
      <c r="C66" t="s">
        <v>12</v>
      </c>
      <c r="E66">
        <v>13</v>
      </c>
      <c r="F66" t="s">
        <v>11</v>
      </c>
      <c r="G66" t="str">
        <f>DATA_DELPHI[[#This Row],[Evaluate]]</f>
        <v>AI;H</v>
      </c>
    </row>
    <row r="67" spans="1:7" x14ac:dyDescent="0.3">
      <c r="A67">
        <v>14</v>
      </c>
      <c r="B67" t="s">
        <v>3</v>
      </c>
      <c r="C67" t="s">
        <v>4</v>
      </c>
      <c r="E67">
        <v>14</v>
      </c>
      <c r="F67" t="s">
        <v>3</v>
      </c>
      <c r="G67" t="str">
        <f>DATA_DELPHI[[#This Row],[Evaluate]]</f>
        <v>FI;M</v>
      </c>
    </row>
    <row r="68" spans="1:7" x14ac:dyDescent="0.3">
      <c r="A68">
        <v>14</v>
      </c>
      <c r="B68" t="s">
        <v>5</v>
      </c>
      <c r="C68" t="s">
        <v>16</v>
      </c>
      <c r="E68">
        <v>14</v>
      </c>
      <c r="F68" t="s">
        <v>5</v>
      </c>
      <c r="G68" t="str">
        <f>DATA_DELPHI[[#This Row],[Evaluate]]</f>
        <v>FI;L</v>
      </c>
    </row>
    <row r="69" spans="1:7" x14ac:dyDescent="0.3">
      <c r="A69">
        <v>14</v>
      </c>
      <c r="B69" t="s">
        <v>7</v>
      </c>
      <c r="C69" t="s">
        <v>8</v>
      </c>
      <c r="E69">
        <v>14</v>
      </c>
      <c r="F69" t="s">
        <v>7</v>
      </c>
      <c r="G69" t="str">
        <f>DATA_DELPHI[[#This Row],[Evaluate]]</f>
        <v>VI;H</v>
      </c>
    </row>
    <row r="70" spans="1:7" x14ac:dyDescent="0.3">
      <c r="A70">
        <v>14</v>
      </c>
      <c r="B70" t="s">
        <v>9</v>
      </c>
      <c r="C70" t="s">
        <v>6</v>
      </c>
      <c r="E70">
        <v>14</v>
      </c>
      <c r="F70" t="s">
        <v>9</v>
      </c>
      <c r="G70" t="str">
        <f>DATA_DELPHI[[#This Row],[Evaluate]]</f>
        <v>VI;VH</v>
      </c>
    </row>
    <row r="71" spans="1:7" x14ac:dyDescent="0.3">
      <c r="A71">
        <v>14</v>
      </c>
      <c r="B71" t="s">
        <v>11</v>
      </c>
      <c r="C71" t="s">
        <v>6</v>
      </c>
      <c r="E71">
        <v>14</v>
      </c>
      <c r="F71" t="s">
        <v>11</v>
      </c>
      <c r="G71" t="str">
        <f>DATA_DELPHI[[#This Row],[Evaluate]]</f>
        <v>VI;VH</v>
      </c>
    </row>
    <row r="72" spans="1:7" x14ac:dyDescent="0.3">
      <c r="A72">
        <v>15</v>
      </c>
      <c r="B72" t="s">
        <v>3</v>
      </c>
      <c r="C72" t="s">
        <v>15</v>
      </c>
      <c r="E72">
        <v>15</v>
      </c>
      <c r="F72" t="s">
        <v>3</v>
      </c>
      <c r="G72" t="str">
        <f>DATA_DELPHI[[#This Row],[Evaluate]]</f>
        <v>FI;H</v>
      </c>
    </row>
    <row r="73" spans="1:7" x14ac:dyDescent="0.3">
      <c r="A73">
        <v>15</v>
      </c>
      <c r="B73" t="s">
        <v>5</v>
      </c>
      <c r="C73" t="s">
        <v>6</v>
      </c>
      <c r="E73">
        <v>15</v>
      </c>
      <c r="F73" t="s">
        <v>5</v>
      </c>
      <c r="G73" t="str">
        <f>DATA_DELPHI[[#This Row],[Evaluate]]</f>
        <v>VI;VH</v>
      </c>
    </row>
    <row r="74" spans="1:7" x14ac:dyDescent="0.3">
      <c r="A74">
        <v>15</v>
      </c>
      <c r="B74" t="s">
        <v>7</v>
      </c>
      <c r="C74" t="s">
        <v>8</v>
      </c>
      <c r="E74">
        <v>15</v>
      </c>
      <c r="F74" t="s">
        <v>7</v>
      </c>
      <c r="G74" t="str">
        <f>DATA_DELPHI[[#This Row],[Evaluate]]</f>
        <v>VI;H</v>
      </c>
    </row>
    <row r="75" spans="1:7" x14ac:dyDescent="0.3">
      <c r="A75">
        <v>15</v>
      </c>
      <c r="B75" t="s">
        <v>9</v>
      </c>
      <c r="C75" t="s">
        <v>4</v>
      </c>
      <c r="E75">
        <v>15</v>
      </c>
      <c r="F75" t="s">
        <v>9</v>
      </c>
      <c r="G75" t="str">
        <f>DATA_DELPHI[[#This Row],[Evaluate]]</f>
        <v>FI;M</v>
      </c>
    </row>
    <row r="76" spans="1:7" x14ac:dyDescent="0.3">
      <c r="A76">
        <v>15</v>
      </c>
      <c r="B76" t="s">
        <v>11</v>
      </c>
      <c r="C76" t="s">
        <v>8</v>
      </c>
      <c r="E76">
        <v>15</v>
      </c>
      <c r="F76" t="s">
        <v>11</v>
      </c>
      <c r="G76" t="str">
        <f>DATA_DELPHI[[#This Row],[Evaluate]]</f>
        <v>VI;H</v>
      </c>
    </row>
    <row r="77" spans="1:7" x14ac:dyDescent="0.3">
      <c r="A77">
        <v>16</v>
      </c>
      <c r="B77" t="s">
        <v>3</v>
      </c>
      <c r="C77" t="s">
        <v>6</v>
      </c>
      <c r="E77">
        <v>16</v>
      </c>
      <c r="F77" t="s">
        <v>3</v>
      </c>
      <c r="G77" t="str">
        <f>DATA_DELPHI[[#This Row],[Evaluate]]</f>
        <v>VI;VH</v>
      </c>
    </row>
    <row r="78" spans="1:7" x14ac:dyDescent="0.3">
      <c r="A78">
        <v>16</v>
      </c>
      <c r="B78" t="s">
        <v>5</v>
      </c>
      <c r="C78" t="s">
        <v>6</v>
      </c>
      <c r="E78">
        <v>16</v>
      </c>
      <c r="F78" t="s">
        <v>5</v>
      </c>
      <c r="G78" t="str">
        <f>DATA_DELPHI[[#This Row],[Evaluate]]</f>
        <v>VI;VH</v>
      </c>
    </row>
    <row r="79" spans="1:7" x14ac:dyDescent="0.3">
      <c r="A79">
        <v>16</v>
      </c>
      <c r="B79" t="s">
        <v>7</v>
      </c>
      <c r="C79" t="s">
        <v>15</v>
      </c>
      <c r="E79">
        <v>16</v>
      </c>
      <c r="F79" t="s">
        <v>7</v>
      </c>
      <c r="G79" t="str">
        <f>DATA_DELPHI[[#This Row],[Evaluate]]</f>
        <v>FI;H</v>
      </c>
    </row>
    <row r="80" spans="1:7" x14ac:dyDescent="0.3">
      <c r="A80">
        <v>16</v>
      </c>
      <c r="B80" t="s">
        <v>9</v>
      </c>
      <c r="C80" t="s">
        <v>17</v>
      </c>
      <c r="E80">
        <v>16</v>
      </c>
      <c r="F80" t="s">
        <v>9</v>
      </c>
      <c r="G80" t="str">
        <f>DATA_DELPHI[[#This Row],[Evaluate]]</f>
        <v>AI;M</v>
      </c>
    </row>
    <row r="81" spans="1:7" x14ac:dyDescent="0.3">
      <c r="A81">
        <v>16</v>
      </c>
      <c r="B81" t="s">
        <v>11</v>
      </c>
      <c r="C81" t="s">
        <v>6</v>
      </c>
      <c r="E81">
        <v>16</v>
      </c>
      <c r="F81" t="s">
        <v>11</v>
      </c>
      <c r="G81" t="str">
        <f>DATA_DELPHI[[#This Row],[Evaluate]]</f>
        <v>VI;VH</v>
      </c>
    </row>
    <row r="82" spans="1:7" x14ac:dyDescent="0.3">
      <c r="A82">
        <v>17</v>
      </c>
      <c r="B82" t="s">
        <v>3</v>
      </c>
      <c r="C82" t="s">
        <v>12</v>
      </c>
      <c r="E82">
        <v>17</v>
      </c>
      <c r="F82" t="s">
        <v>3</v>
      </c>
      <c r="G82" t="str">
        <f>DATA_DELPHI[[#This Row],[Evaluate]]</f>
        <v>AI;H</v>
      </c>
    </row>
    <row r="83" spans="1:7" x14ac:dyDescent="0.3">
      <c r="A83">
        <v>17</v>
      </c>
      <c r="B83" t="s">
        <v>5</v>
      </c>
      <c r="C83" t="s">
        <v>8</v>
      </c>
      <c r="E83">
        <v>17</v>
      </c>
      <c r="F83" t="s">
        <v>5</v>
      </c>
      <c r="G83" t="str">
        <f>DATA_DELPHI[[#This Row],[Evaluate]]</f>
        <v>VI;H</v>
      </c>
    </row>
    <row r="84" spans="1:7" x14ac:dyDescent="0.3">
      <c r="A84">
        <v>17</v>
      </c>
      <c r="B84" t="s">
        <v>7</v>
      </c>
      <c r="C84" t="s">
        <v>18</v>
      </c>
      <c r="E84">
        <v>17</v>
      </c>
      <c r="F84" t="s">
        <v>7</v>
      </c>
      <c r="G84" t="str">
        <f>DATA_DELPHI[[#This Row],[Evaluate]]</f>
        <v>WI;VH</v>
      </c>
    </row>
    <row r="85" spans="1:7" x14ac:dyDescent="0.3">
      <c r="A85">
        <v>17</v>
      </c>
      <c r="B85" t="s">
        <v>9</v>
      </c>
      <c r="C85" t="s">
        <v>6</v>
      </c>
      <c r="E85">
        <v>17</v>
      </c>
      <c r="F85" t="s">
        <v>9</v>
      </c>
      <c r="G85" t="str">
        <f>DATA_DELPHI[[#This Row],[Evaluate]]</f>
        <v>VI;VH</v>
      </c>
    </row>
    <row r="86" spans="1:7" x14ac:dyDescent="0.3">
      <c r="A86">
        <v>17</v>
      </c>
      <c r="B86" t="s">
        <v>11</v>
      </c>
      <c r="C86" t="s">
        <v>15</v>
      </c>
      <c r="E86">
        <v>17</v>
      </c>
      <c r="F86" t="s">
        <v>11</v>
      </c>
      <c r="G86" t="str">
        <f>DATA_DELPHI[[#This Row],[Evaluate]]</f>
        <v>FI;H</v>
      </c>
    </row>
    <row r="87" spans="1:7" x14ac:dyDescent="0.3">
      <c r="A87">
        <v>18</v>
      </c>
      <c r="B87" t="s">
        <v>3</v>
      </c>
      <c r="C87" t="s">
        <v>10</v>
      </c>
      <c r="E87">
        <v>18</v>
      </c>
      <c r="F87" t="s">
        <v>3</v>
      </c>
      <c r="G87" t="str">
        <f>DATA_DELPHI[[#This Row],[Evaluate]]</f>
        <v>AI;VH</v>
      </c>
    </row>
    <row r="88" spans="1:7" x14ac:dyDescent="0.3">
      <c r="A88">
        <v>18</v>
      </c>
      <c r="B88" t="s">
        <v>5</v>
      </c>
      <c r="C88" t="s">
        <v>15</v>
      </c>
      <c r="E88">
        <v>18</v>
      </c>
      <c r="F88" t="s">
        <v>5</v>
      </c>
      <c r="G88" t="str">
        <f>DATA_DELPHI[[#This Row],[Evaluate]]</f>
        <v>FI;H</v>
      </c>
    </row>
    <row r="89" spans="1:7" x14ac:dyDescent="0.3">
      <c r="A89">
        <v>18</v>
      </c>
      <c r="B89" t="s">
        <v>7</v>
      </c>
      <c r="C89" t="s">
        <v>10</v>
      </c>
      <c r="E89">
        <v>18</v>
      </c>
      <c r="F89" t="s">
        <v>7</v>
      </c>
      <c r="G89" t="str">
        <f>DATA_DELPHI[[#This Row],[Evaluate]]</f>
        <v>AI;VH</v>
      </c>
    </row>
    <row r="90" spans="1:7" x14ac:dyDescent="0.3">
      <c r="A90">
        <v>18</v>
      </c>
      <c r="B90" t="s">
        <v>9</v>
      </c>
      <c r="C90" t="s">
        <v>6</v>
      </c>
      <c r="E90">
        <v>18</v>
      </c>
      <c r="F90" t="s">
        <v>9</v>
      </c>
      <c r="G90" t="str">
        <f>DATA_DELPHI[[#This Row],[Evaluate]]</f>
        <v>VI;VH</v>
      </c>
    </row>
    <row r="91" spans="1:7" x14ac:dyDescent="0.3">
      <c r="A91">
        <v>18</v>
      </c>
      <c r="B91" t="s">
        <v>11</v>
      </c>
      <c r="C91" t="s">
        <v>15</v>
      </c>
      <c r="E91">
        <v>18</v>
      </c>
      <c r="F91" t="s">
        <v>11</v>
      </c>
      <c r="G91" t="str">
        <f>DATA_DELPHI[[#This Row],[Evaluate]]</f>
        <v>FI;H</v>
      </c>
    </row>
    <row r="92" spans="1:7" x14ac:dyDescent="0.3">
      <c r="A92">
        <v>19</v>
      </c>
      <c r="B92" t="s">
        <v>3</v>
      </c>
      <c r="C92" t="s">
        <v>14</v>
      </c>
      <c r="E92">
        <v>19</v>
      </c>
      <c r="F92" t="s">
        <v>3</v>
      </c>
      <c r="G92" t="str">
        <f>DATA_DELPHI[[#This Row],[Evaluate]]</f>
        <v>VI;M</v>
      </c>
    </row>
    <row r="93" spans="1:7" x14ac:dyDescent="0.3">
      <c r="A93">
        <v>19</v>
      </c>
      <c r="B93" t="s">
        <v>5</v>
      </c>
      <c r="C93" t="s">
        <v>17</v>
      </c>
      <c r="E93">
        <v>19</v>
      </c>
      <c r="F93" t="s">
        <v>5</v>
      </c>
      <c r="G93" t="str">
        <f>DATA_DELPHI[[#This Row],[Evaluate]]</f>
        <v>AI;M</v>
      </c>
    </row>
    <row r="94" spans="1:7" x14ac:dyDescent="0.3">
      <c r="A94">
        <v>19</v>
      </c>
      <c r="B94" t="s">
        <v>7</v>
      </c>
      <c r="C94" t="s">
        <v>14</v>
      </c>
      <c r="E94">
        <v>19</v>
      </c>
      <c r="F94" t="s">
        <v>7</v>
      </c>
      <c r="G94" t="str">
        <f>DATA_DELPHI[[#This Row],[Evaluate]]</f>
        <v>VI;M</v>
      </c>
    </row>
    <row r="95" spans="1:7" x14ac:dyDescent="0.3">
      <c r="A95">
        <v>19</v>
      </c>
      <c r="B95" t="s">
        <v>9</v>
      </c>
      <c r="C95" t="s">
        <v>6</v>
      </c>
      <c r="E95">
        <v>19</v>
      </c>
      <c r="F95" t="s">
        <v>9</v>
      </c>
      <c r="G95" t="str">
        <f>DATA_DELPHI[[#This Row],[Evaluate]]</f>
        <v>VI;VH</v>
      </c>
    </row>
    <row r="96" spans="1:7" x14ac:dyDescent="0.3">
      <c r="A96">
        <v>19</v>
      </c>
      <c r="B96" t="s">
        <v>11</v>
      </c>
      <c r="C96" t="s">
        <v>6</v>
      </c>
      <c r="E96">
        <v>19</v>
      </c>
      <c r="F96" t="s">
        <v>11</v>
      </c>
      <c r="G96" t="str">
        <f>DATA_DELPHI[[#This Row],[Evaluate]]</f>
        <v>VI;VH</v>
      </c>
    </row>
    <row r="97" spans="1:7" x14ac:dyDescent="0.3">
      <c r="A97">
        <v>20</v>
      </c>
      <c r="B97" t="s">
        <v>3</v>
      </c>
      <c r="C97" t="s">
        <v>8</v>
      </c>
      <c r="E97">
        <v>20</v>
      </c>
      <c r="F97" t="s">
        <v>3</v>
      </c>
      <c r="G97" t="str">
        <f>DATA_DELPHI[[#This Row],[Evaluate]]</f>
        <v>VI;H</v>
      </c>
    </row>
    <row r="98" spans="1:7" x14ac:dyDescent="0.3">
      <c r="A98">
        <v>20</v>
      </c>
      <c r="B98" t="s">
        <v>5</v>
      </c>
      <c r="C98" t="s">
        <v>13</v>
      </c>
      <c r="E98">
        <v>20</v>
      </c>
      <c r="F98" t="s">
        <v>5</v>
      </c>
      <c r="G98" t="str">
        <f>DATA_DELPHI[[#This Row],[Evaluate]]</f>
        <v>FI;VH</v>
      </c>
    </row>
    <row r="99" spans="1:7" x14ac:dyDescent="0.3">
      <c r="A99">
        <v>20</v>
      </c>
      <c r="B99" t="s">
        <v>7</v>
      </c>
      <c r="C99" t="s">
        <v>15</v>
      </c>
      <c r="E99">
        <v>20</v>
      </c>
      <c r="F99" t="s">
        <v>7</v>
      </c>
      <c r="G99" t="str">
        <f>DATA_DELPHI[[#This Row],[Evaluate]]</f>
        <v>FI;H</v>
      </c>
    </row>
    <row r="100" spans="1:7" x14ac:dyDescent="0.3">
      <c r="A100">
        <v>20</v>
      </c>
      <c r="B100" t="s">
        <v>9</v>
      </c>
      <c r="C100" t="s">
        <v>6</v>
      </c>
      <c r="E100">
        <v>20</v>
      </c>
      <c r="F100" t="s">
        <v>9</v>
      </c>
      <c r="G100" t="str">
        <f>DATA_DELPHI[[#This Row],[Evaluate]]</f>
        <v>VI;VH</v>
      </c>
    </row>
    <row r="101" spans="1:7" x14ac:dyDescent="0.3">
      <c r="A101">
        <v>20</v>
      </c>
      <c r="B101" t="s">
        <v>11</v>
      </c>
      <c r="C101" t="s">
        <v>12</v>
      </c>
      <c r="E101">
        <v>20</v>
      </c>
      <c r="F101" t="s">
        <v>11</v>
      </c>
      <c r="G101" t="str">
        <f>DATA_DELPHI[[#This Row],[Evaluate]]</f>
        <v>AI;H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1455C-F910-4097-8156-BF86295F0BF8}">
  <dimension ref="A1:AB53"/>
  <sheetViews>
    <sheetView topLeftCell="G25" workbookViewId="0">
      <selection activeCell="AB41" sqref="AB41"/>
    </sheetView>
  </sheetViews>
  <sheetFormatPr defaultRowHeight="14.4" x14ac:dyDescent="0.3"/>
  <cols>
    <col min="1" max="1" width="19.5546875" bestFit="1" customWidth="1"/>
    <col min="4" max="4" width="23.44140625" bestFit="1" customWidth="1"/>
  </cols>
  <sheetData>
    <row r="1" spans="1:2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 t="s">
        <v>3</v>
      </c>
      <c r="B2">
        <v>1</v>
      </c>
      <c r="C2">
        <f>B$1*5+$B2</f>
        <v>6</v>
      </c>
      <c r="D2">
        <f t="shared" ref="D2:U6" si="0">C$1*5+$B2</f>
        <v>11</v>
      </c>
      <c r="E2">
        <f t="shared" si="0"/>
        <v>16</v>
      </c>
      <c r="F2">
        <f t="shared" si="0"/>
        <v>21</v>
      </c>
      <c r="G2">
        <f t="shared" si="0"/>
        <v>26</v>
      </c>
      <c r="H2">
        <f t="shared" si="0"/>
        <v>31</v>
      </c>
      <c r="I2">
        <f t="shared" si="0"/>
        <v>36</v>
      </c>
      <c r="J2">
        <f t="shared" si="0"/>
        <v>41</v>
      </c>
      <c r="K2">
        <f t="shared" si="0"/>
        <v>46</v>
      </c>
      <c r="L2">
        <f t="shared" si="0"/>
        <v>51</v>
      </c>
      <c r="M2">
        <f t="shared" si="0"/>
        <v>56</v>
      </c>
      <c r="N2">
        <f t="shared" si="0"/>
        <v>61</v>
      </c>
      <c r="O2">
        <f t="shared" si="0"/>
        <v>66</v>
      </c>
      <c r="P2">
        <f t="shared" si="0"/>
        <v>71</v>
      </c>
      <c r="Q2">
        <f t="shared" si="0"/>
        <v>76</v>
      </c>
      <c r="R2">
        <f t="shared" si="0"/>
        <v>81</v>
      </c>
      <c r="S2">
        <f t="shared" si="0"/>
        <v>86</v>
      </c>
      <c r="T2">
        <f t="shared" si="0"/>
        <v>91</v>
      </c>
      <c r="U2">
        <f t="shared" si="0"/>
        <v>96</v>
      </c>
    </row>
    <row r="3" spans="1:21" x14ac:dyDescent="0.3">
      <c r="A3" t="s">
        <v>5</v>
      </c>
      <c r="B3">
        <v>2</v>
      </c>
      <c r="C3">
        <f t="shared" ref="C3:R6" si="1">B$1*5+$B3</f>
        <v>7</v>
      </c>
      <c r="D3">
        <f t="shared" si="1"/>
        <v>12</v>
      </c>
      <c r="E3">
        <f t="shared" si="1"/>
        <v>17</v>
      </c>
      <c r="F3">
        <f t="shared" si="1"/>
        <v>22</v>
      </c>
      <c r="G3">
        <f t="shared" si="1"/>
        <v>27</v>
      </c>
      <c r="H3">
        <f t="shared" si="1"/>
        <v>32</v>
      </c>
      <c r="I3">
        <f t="shared" si="1"/>
        <v>37</v>
      </c>
      <c r="J3">
        <f t="shared" si="1"/>
        <v>42</v>
      </c>
      <c r="K3">
        <f t="shared" si="1"/>
        <v>47</v>
      </c>
      <c r="L3">
        <f t="shared" si="1"/>
        <v>52</v>
      </c>
      <c r="M3">
        <f t="shared" si="1"/>
        <v>57</v>
      </c>
      <c r="N3">
        <f t="shared" si="1"/>
        <v>62</v>
      </c>
      <c r="O3">
        <f t="shared" si="1"/>
        <v>67</v>
      </c>
      <c r="P3">
        <f t="shared" si="1"/>
        <v>72</v>
      </c>
      <c r="Q3">
        <f t="shared" si="1"/>
        <v>77</v>
      </c>
      <c r="R3">
        <f t="shared" si="1"/>
        <v>82</v>
      </c>
      <c r="S3">
        <f t="shared" si="0"/>
        <v>87</v>
      </c>
      <c r="T3">
        <f t="shared" si="0"/>
        <v>92</v>
      </c>
      <c r="U3">
        <f t="shared" si="0"/>
        <v>97</v>
      </c>
    </row>
    <row r="4" spans="1:21" x14ac:dyDescent="0.3">
      <c r="A4" t="s">
        <v>7</v>
      </c>
      <c r="B4">
        <v>3</v>
      </c>
      <c r="C4">
        <f t="shared" si="1"/>
        <v>8</v>
      </c>
      <c r="D4">
        <f t="shared" si="0"/>
        <v>13</v>
      </c>
      <c r="E4">
        <f t="shared" si="0"/>
        <v>18</v>
      </c>
      <c r="F4">
        <f t="shared" si="0"/>
        <v>23</v>
      </c>
      <c r="G4">
        <f t="shared" si="0"/>
        <v>28</v>
      </c>
      <c r="H4">
        <f t="shared" si="0"/>
        <v>33</v>
      </c>
      <c r="I4">
        <f t="shared" si="0"/>
        <v>38</v>
      </c>
      <c r="J4">
        <f t="shared" si="0"/>
        <v>43</v>
      </c>
      <c r="K4">
        <f t="shared" si="0"/>
        <v>48</v>
      </c>
      <c r="L4">
        <f t="shared" si="0"/>
        <v>53</v>
      </c>
      <c r="M4">
        <f t="shared" si="0"/>
        <v>58</v>
      </c>
      <c r="N4">
        <f t="shared" si="0"/>
        <v>63</v>
      </c>
      <c r="O4">
        <f t="shared" si="0"/>
        <v>68</v>
      </c>
      <c r="P4">
        <f t="shared" si="0"/>
        <v>73</v>
      </c>
      <c r="Q4">
        <f t="shared" si="0"/>
        <v>78</v>
      </c>
      <c r="R4">
        <f t="shared" si="0"/>
        <v>83</v>
      </c>
      <c r="S4">
        <f t="shared" si="0"/>
        <v>88</v>
      </c>
      <c r="T4">
        <f t="shared" si="0"/>
        <v>93</v>
      </c>
      <c r="U4">
        <f t="shared" si="0"/>
        <v>98</v>
      </c>
    </row>
    <row r="5" spans="1:21" x14ac:dyDescent="0.3">
      <c r="A5" t="s">
        <v>9</v>
      </c>
      <c r="B5">
        <v>4</v>
      </c>
      <c r="C5">
        <f t="shared" si="1"/>
        <v>9</v>
      </c>
      <c r="D5">
        <f t="shared" si="0"/>
        <v>14</v>
      </c>
      <c r="E5">
        <f t="shared" si="0"/>
        <v>19</v>
      </c>
      <c r="F5">
        <f t="shared" si="0"/>
        <v>24</v>
      </c>
      <c r="G5">
        <f t="shared" si="0"/>
        <v>29</v>
      </c>
      <c r="H5">
        <f t="shared" si="0"/>
        <v>34</v>
      </c>
      <c r="I5">
        <f t="shared" si="0"/>
        <v>39</v>
      </c>
      <c r="J5">
        <f t="shared" si="0"/>
        <v>44</v>
      </c>
      <c r="K5">
        <f t="shared" si="0"/>
        <v>49</v>
      </c>
      <c r="L5">
        <f t="shared" si="0"/>
        <v>54</v>
      </c>
      <c r="M5">
        <f t="shared" si="0"/>
        <v>59</v>
      </c>
      <c r="N5">
        <f t="shared" si="0"/>
        <v>64</v>
      </c>
      <c r="O5">
        <f t="shared" si="0"/>
        <v>69</v>
      </c>
      <c r="P5">
        <f t="shared" si="0"/>
        <v>74</v>
      </c>
      <c r="Q5">
        <f t="shared" si="0"/>
        <v>79</v>
      </c>
      <c r="R5">
        <f t="shared" si="0"/>
        <v>84</v>
      </c>
      <c r="S5">
        <f t="shared" si="0"/>
        <v>89</v>
      </c>
      <c r="T5">
        <f t="shared" si="0"/>
        <v>94</v>
      </c>
      <c r="U5">
        <f t="shared" si="0"/>
        <v>99</v>
      </c>
    </row>
    <row r="6" spans="1:21" x14ac:dyDescent="0.3">
      <c r="A6" t="s">
        <v>11</v>
      </c>
      <c r="B6">
        <v>5</v>
      </c>
      <c r="C6">
        <f t="shared" si="1"/>
        <v>10</v>
      </c>
      <c r="D6">
        <f t="shared" si="0"/>
        <v>15</v>
      </c>
      <c r="E6">
        <f t="shared" si="0"/>
        <v>20</v>
      </c>
      <c r="F6">
        <f t="shared" si="0"/>
        <v>25</v>
      </c>
      <c r="G6">
        <f t="shared" si="0"/>
        <v>30</v>
      </c>
      <c r="H6">
        <f t="shared" si="0"/>
        <v>35</v>
      </c>
      <c r="I6">
        <f t="shared" si="0"/>
        <v>40</v>
      </c>
      <c r="J6">
        <f t="shared" si="0"/>
        <v>45</v>
      </c>
      <c r="K6">
        <f t="shared" si="0"/>
        <v>50</v>
      </c>
      <c r="L6">
        <f t="shared" si="0"/>
        <v>55</v>
      </c>
      <c r="M6">
        <f t="shared" si="0"/>
        <v>60</v>
      </c>
      <c r="N6">
        <f t="shared" si="0"/>
        <v>65</v>
      </c>
      <c r="O6">
        <f t="shared" si="0"/>
        <v>70</v>
      </c>
      <c r="P6">
        <f t="shared" si="0"/>
        <v>75</v>
      </c>
      <c r="Q6">
        <f t="shared" si="0"/>
        <v>80</v>
      </c>
      <c r="R6">
        <f t="shared" si="0"/>
        <v>85</v>
      </c>
      <c r="S6">
        <f t="shared" si="0"/>
        <v>90</v>
      </c>
      <c r="T6">
        <f t="shared" si="0"/>
        <v>95</v>
      </c>
      <c r="U6">
        <f t="shared" si="0"/>
        <v>100</v>
      </c>
    </row>
    <row r="8" spans="1:21" ht="15.6" x14ac:dyDescent="0.3">
      <c r="A8" s="5" t="s">
        <v>20</v>
      </c>
      <c r="B8" s="5" t="s">
        <v>21</v>
      </c>
      <c r="C8" s="5" t="s">
        <v>22</v>
      </c>
      <c r="D8" s="5" t="s">
        <v>23</v>
      </c>
    </row>
    <row r="9" spans="1:21" ht="15.6" x14ac:dyDescent="0.3">
      <c r="A9" s="6" t="s">
        <v>24</v>
      </c>
      <c r="B9" s="6" t="s">
        <v>25</v>
      </c>
      <c r="C9" s="6" t="s">
        <v>26</v>
      </c>
      <c r="D9" s="6" t="s">
        <v>27</v>
      </c>
    </row>
    <row r="10" spans="1:21" ht="15.6" x14ac:dyDescent="0.3">
      <c r="A10" s="6" t="s">
        <v>24</v>
      </c>
      <c r="B10" s="6" t="s">
        <v>28</v>
      </c>
      <c r="C10" s="6" t="s">
        <v>29</v>
      </c>
      <c r="D10" s="6" t="s">
        <v>30</v>
      </c>
    </row>
    <row r="11" spans="1:21" ht="15.6" x14ac:dyDescent="0.3">
      <c r="A11" s="6" t="s">
        <v>24</v>
      </c>
      <c r="B11" s="6" t="s">
        <v>31</v>
      </c>
      <c r="C11" s="6" t="s">
        <v>17</v>
      </c>
      <c r="D11" s="6" t="s">
        <v>32</v>
      </c>
    </row>
    <row r="12" spans="1:21" ht="15.6" x14ac:dyDescent="0.3">
      <c r="A12" s="6" t="s">
        <v>24</v>
      </c>
      <c r="B12" s="6" t="s">
        <v>33</v>
      </c>
      <c r="C12" s="6" t="s">
        <v>12</v>
      </c>
      <c r="D12" s="6" t="s">
        <v>34</v>
      </c>
    </row>
    <row r="13" spans="1:21" ht="15.6" x14ac:dyDescent="0.3">
      <c r="A13" s="6" t="s">
        <v>24</v>
      </c>
      <c r="B13" s="6" t="s">
        <v>35</v>
      </c>
      <c r="C13" s="6" t="s">
        <v>10</v>
      </c>
      <c r="D13" s="6" t="s">
        <v>36</v>
      </c>
    </row>
    <row r="14" spans="1:21" ht="15.6" x14ac:dyDescent="0.3">
      <c r="A14" s="6" t="s">
        <v>37</v>
      </c>
      <c r="B14" s="6" t="s">
        <v>25</v>
      </c>
      <c r="C14" s="6" t="s">
        <v>38</v>
      </c>
      <c r="D14" s="6" t="s">
        <v>39</v>
      </c>
    </row>
    <row r="15" spans="1:21" ht="15.6" x14ac:dyDescent="0.3">
      <c r="A15" s="6" t="s">
        <v>37</v>
      </c>
      <c r="B15" s="6" t="s">
        <v>28</v>
      </c>
      <c r="C15" s="6" t="s">
        <v>40</v>
      </c>
      <c r="D15" s="6" t="s">
        <v>41</v>
      </c>
    </row>
    <row r="16" spans="1:21" ht="15.6" x14ac:dyDescent="0.3">
      <c r="A16" s="6" t="s">
        <v>37</v>
      </c>
      <c r="B16" s="6" t="s">
        <v>31</v>
      </c>
      <c r="C16" s="6" t="s">
        <v>42</v>
      </c>
      <c r="D16" s="6" t="s">
        <v>43</v>
      </c>
    </row>
    <row r="17" spans="1:4" ht="15.6" x14ac:dyDescent="0.3">
      <c r="A17" s="6" t="s">
        <v>37</v>
      </c>
      <c r="B17" s="6" t="s">
        <v>33</v>
      </c>
      <c r="C17" s="6" t="s">
        <v>44</v>
      </c>
      <c r="D17" s="6" t="s">
        <v>45</v>
      </c>
    </row>
    <row r="18" spans="1:4" ht="15.6" x14ac:dyDescent="0.3">
      <c r="A18" s="6" t="s">
        <v>37</v>
      </c>
      <c r="B18" s="6" t="s">
        <v>35</v>
      </c>
      <c r="C18" s="6" t="s">
        <v>46</v>
      </c>
      <c r="D18" s="6" t="s">
        <v>47</v>
      </c>
    </row>
    <row r="19" spans="1:4" ht="15.6" x14ac:dyDescent="0.3">
      <c r="A19" s="6" t="s">
        <v>48</v>
      </c>
      <c r="B19" s="6" t="s">
        <v>25</v>
      </c>
      <c r="C19" s="6" t="s">
        <v>49</v>
      </c>
      <c r="D19" s="6" t="s">
        <v>50</v>
      </c>
    </row>
    <row r="20" spans="1:4" ht="15.6" x14ac:dyDescent="0.3">
      <c r="A20" s="6" t="s">
        <v>48</v>
      </c>
      <c r="B20" s="6" t="s">
        <v>28</v>
      </c>
      <c r="C20" s="6" t="s">
        <v>16</v>
      </c>
      <c r="D20" s="6" t="s">
        <v>51</v>
      </c>
    </row>
    <row r="21" spans="1:4" ht="15.6" x14ac:dyDescent="0.3">
      <c r="A21" s="6" t="s">
        <v>48</v>
      </c>
      <c r="B21" s="6" t="s">
        <v>31</v>
      </c>
      <c r="C21" s="6" t="s">
        <v>4</v>
      </c>
      <c r="D21" s="6" t="s">
        <v>52</v>
      </c>
    </row>
    <row r="22" spans="1:4" ht="15.6" x14ac:dyDescent="0.3">
      <c r="A22" s="6" t="s">
        <v>48</v>
      </c>
      <c r="B22" s="6" t="s">
        <v>33</v>
      </c>
      <c r="C22" s="6" t="s">
        <v>15</v>
      </c>
      <c r="D22" s="6" t="s">
        <v>53</v>
      </c>
    </row>
    <row r="23" spans="1:4" ht="15.6" x14ac:dyDescent="0.3">
      <c r="A23" s="6" t="s">
        <v>48</v>
      </c>
      <c r="B23" s="6" t="s">
        <v>35</v>
      </c>
      <c r="C23" s="6" t="s">
        <v>13</v>
      </c>
      <c r="D23" s="6" t="s">
        <v>54</v>
      </c>
    </row>
    <row r="24" spans="1:4" ht="15.6" x14ac:dyDescent="0.3">
      <c r="A24" s="6" t="s">
        <v>55</v>
      </c>
      <c r="B24" s="6" t="s">
        <v>25</v>
      </c>
      <c r="C24" s="6" t="s">
        <v>56</v>
      </c>
      <c r="D24" s="6" t="s">
        <v>57</v>
      </c>
    </row>
    <row r="25" spans="1:4" ht="15.6" x14ac:dyDescent="0.3">
      <c r="A25" s="6" t="s">
        <v>55</v>
      </c>
      <c r="B25" s="6" t="s">
        <v>28</v>
      </c>
      <c r="C25" s="6" t="s">
        <v>58</v>
      </c>
      <c r="D25" s="6" t="s">
        <v>59</v>
      </c>
    </row>
    <row r="26" spans="1:4" ht="15.6" x14ac:dyDescent="0.3">
      <c r="A26" s="6" t="s">
        <v>55</v>
      </c>
      <c r="B26" s="6" t="s">
        <v>31</v>
      </c>
      <c r="C26" s="6" t="s">
        <v>14</v>
      </c>
      <c r="D26" s="6" t="s">
        <v>60</v>
      </c>
    </row>
    <row r="27" spans="1:4" ht="15.6" x14ac:dyDescent="0.3">
      <c r="A27" s="6" t="s">
        <v>55</v>
      </c>
      <c r="B27" s="6" t="s">
        <v>33</v>
      </c>
      <c r="C27" s="6" t="s">
        <v>8</v>
      </c>
      <c r="D27" s="6" t="s">
        <v>61</v>
      </c>
    </row>
    <row r="28" spans="1:4" ht="15.6" x14ac:dyDescent="0.3">
      <c r="A28" s="6" t="s">
        <v>55</v>
      </c>
      <c r="B28" s="6" t="s">
        <v>35</v>
      </c>
      <c r="C28" s="6" t="s">
        <v>6</v>
      </c>
      <c r="D28" s="6" t="s">
        <v>62</v>
      </c>
    </row>
    <row r="29" spans="1:4" ht="15.6" x14ac:dyDescent="0.3">
      <c r="A29" s="6" t="s">
        <v>63</v>
      </c>
      <c r="B29" s="6" t="s">
        <v>25</v>
      </c>
      <c r="C29" s="6" t="s">
        <v>64</v>
      </c>
      <c r="D29" s="6" t="s">
        <v>65</v>
      </c>
    </row>
    <row r="30" spans="1:4" ht="15.6" x14ac:dyDescent="0.3">
      <c r="A30" s="6" t="s">
        <v>63</v>
      </c>
      <c r="B30" s="6" t="s">
        <v>28</v>
      </c>
      <c r="C30" s="6" t="s">
        <v>66</v>
      </c>
      <c r="D30" s="6" t="s">
        <v>67</v>
      </c>
    </row>
    <row r="31" spans="1:4" ht="15.6" x14ac:dyDescent="0.3">
      <c r="A31" s="6" t="s">
        <v>63</v>
      </c>
      <c r="B31" s="6" t="s">
        <v>31</v>
      </c>
      <c r="C31" s="6" t="s">
        <v>68</v>
      </c>
      <c r="D31" s="6" t="s">
        <v>69</v>
      </c>
    </row>
    <row r="32" spans="1:4" ht="15.6" x14ac:dyDescent="0.3">
      <c r="A32" s="6" t="s">
        <v>63</v>
      </c>
      <c r="B32" s="6" t="s">
        <v>33</v>
      </c>
      <c r="C32" s="6" t="s">
        <v>70</v>
      </c>
      <c r="D32" s="6" t="s">
        <v>71</v>
      </c>
    </row>
    <row r="33" spans="1:28" ht="15.6" x14ac:dyDescent="0.3">
      <c r="A33" s="6" t="s">
        <v>63</v>
      </c>
      <c r="B33" s="6" t="s">
        <v>35</v>
      </c>
      <c r="C33" s="6" t="s">
        <v>18</v>
      </c>
      <c r="D33" s="6" t="s">
        <v>72</v>
      </c>
    </row>
    <row r="35" spans="1:28" ht="15.6" x14ac:dyDescent="0.3">
      <c r="A35" s="7" t="s">
        <v>78</v>
      </c>
    </row>
    <row r="37" spans="1:28" s="4" customFormat="1" ht="13.8" x14ac:dyDescent="0.25">
      <c r="A37" s="12" t="s">
        <v>82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8" s="4" customFormat="1" ht="13.8" x14ac:dyDescent="0.25">
      <c r="A38" s="3" t="s">
        <v>0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N38" s="3">
        <v>13</v>
      </c>
      <c r="O38" s="3">
        <v>14</v>
      </c>
      <c r="P38" s="3">
        <v>15</v>
      </c>
      <c r="Q38" s="3">
        <v>16</v>
      </c>
      <c r="R38" s="3">
        <v>17</v>
      </c>
      <c r="S38" s="3">
        <v>18</v>
      </c>
      <c r="T38" s="3">
        <v>19</v>
      </c>
      <c r="U38" s="3">
        <v>20</v>
      </c>
      <c r="V38" s="3" t="s">
        <v>74</v>
      </c>
      <c r="W38" s="3" t="s">
        <v>75</v>
      </c>
      <c r="X38" s="3" t="s">
        <v>76</v>
      </c>
      <c r="Y38" s="8" t="s">
        <v>77</v>
      </c>
      <c r="Z38" s="8" t="s">
        <v>79</v>
      </c>
      <c r="AA38" s="8" t="s">
        <v>80</v>
      </c>
      <c r="AB38" s="3" t="s">
        <v>81</v>
      </c>
    </row>
    <row r="39" spans="1:28" s="4" customFormat="1" ht="15.6" x14ac:dyDescent="0.3">
      <c r="A39" s="2" t="s">
        <v>83</v>
      </c>
      <c r="B39" s="6" t="s">
        <v>36</v>
      </c>
      <c r="C39" s="6" t="s">
        <v>36</v>
      </c>
      <c r="D39" s="6" t="s">
        <v>36</v>
      </c>
      <c r="E39" s="6" t="s">
        <v>36</v>
      </c>
      <c r="F39" s="6" t="s">
        <v>36</v>
      </c>
      <c r="G39" s="6" t="s">
        <v>36</v>
      </c>
      <c r="H39" s="6" t="s">
        <v>36</v>
      </c>
      <c r="I39" s="6" t="s">
        <v>36</v>
      </c>
      <c r="J39" s="6" t="s">
        <v>36</v>
      </c>
      <c r="K39" s="6" t="s">
        <v>36</v>
      </c>
      <c r="L39" s="6" t="s">
        <v>36</v>
      </c>
      <c r="M39" s="6" t="s">
        <v>36</v>
      </c>
      <c r="N39" s="6" t="s">
        <v>36</v>
      </c>
      <c r="O39" s="6" t="s">
        <v>36</v>
      </c>
      <c r="P39" s="6" t="s">
        <v>36</v>
      </c>
      <c r="Q39" s="6" t="s">
        <v>36</v>
      </c>
      <c r="R39" s="6" t="s">
        <v>36</v>
      </c>
      <c r="S39" s="6" t="s">
        <v>36</v>
      </c>
      <c r="T39" s="6" t="s">
        <v>36</v>
      </c>
      <c r="U39" s="6" t="s">
        <v>36</v>
      </c>
      <c r="V39" s="1">
        <f t="shared" ref="V39" si="2">MIN(B44:U44)</f>
        <v>0.28460000000000002</v>
      </c>
      <c r="W39" s="1">
        <f>ROUND(PRODUCT(B48:U48)^(1/20),4)</f>
        <v>0.3795</v>
      </c>
      <c r="X39" s="1">
        <f>MAX(B52:U52)</f>
        <v>0.3795</v>
      </c>
      <c r="Y39" s="9" t="str">
        <f t="shared" ref="Y39" si="3">_xlfn.CONCAT("(", V39, "; ", W39, "; ", X39, ")")</f>
        <v>(0,2846; 0,3795; 0,3795)</v>
      </c>
      <c r="Z39" s="9">
        <f t="shared" ref="Z39" si="4">X39-0.5*(X39-W39)</f>
        <v>0.3795</v>
      </c>
      <c r="AA39" s="9">
        <f t="shared" ref="AA39" si="5">V39-0.5*(W39-V39)</f>
        <v>0.23715000000000003</v>
      </c>
      <c r="AB39" s="1">
        <f t="shared" ref="AB39" si="6">0.5*(Z39+(1-0.5)*AA39)</f>
        <v>0.24903750000000002</v>
      </c>
    </row>
    <row r="40" spans="1:28" s="4" customFormat="1" ht="15.6" x14ac:dyDescent="0.3">
      <c r="A40" s="2" t="s">
        <v>84</v>
      </c>
      <c r="B40" s="6" t="s">
        <v>39</v>
      </c>
      <c r="C40" s="6" t="s">
        <v>39</v>
      </c>
      <c r="D40" s="6" t="s">
        <v>39</v>
      </c>
      <c r="E40" s="6" t="s">
        <v>39</v>
      </c>
      <c r="F40" s="6" t="s">
        <v>39</v>
      </c>
      <c r="G40" s="6" t="s">
        <v>39</v>
      </c>
      <c r="H40" s="6" t="s">
        <v>39</v>
      </c>
      <c r="I40" s="6" t="s">
        <v>39</v>
      </c>
      <c r="J40" s="6" t="s">
        <v>39</v>
      </c>
      <c r="K40" s="6" t="s">
        <v>39</v>
      </c>
      <c r="L40" s="6" t="s">
        <v>39</v>
      </c>
      <c r="M40" s="6" t="s">
        <v>39</v>
      </c>
      <c r="N40" s="6" t="s">
        <v>39</v>
      </c>
      <c r="O40" s="6" t="s">
        <v>39</v>
      </c>
      <c r="P40" s="6" t="s">
        <v>39</v>
      </c>
      <c r="Q40" s="6" t="s">
        <v>39</v>
      </c>
      <c r="R40" s="6" t="s">
        <v>39</v>
      </c>
      <c r="S40" s="6" t="s">
        <v>39</v>
      </c>
      <c r="T40" s="6" t="s">
        <v>39</v>
      </c>
      <c r="U40" s="6" t="s">
        <v>39</v>
      </c>
      <c r="V40" s="1">
        <f t="shared" ref="V40" si="7">MIN(B45:U45)</f>
        <v>0</v>
      </c>
      <c r="W40" s="1">
        <f>ROUND(PRODUCT(B49:U49)^(1/20),4)</f>
        <v>0</v>
      </c>
      <c r="X40" s="1">
        <f>MAX(B53:U53)</f>
        <v>3.1600000000000003E-2</v>
      </c>
      <c r="Y40" s="9" t="str">
        <f t="shared" ref="Y40" si="8">_xlfn.CONCAT("(", V40, "; ", W40, "; ", X40, ")")</f>
        <v>(0; 0; 0,0316)</v>
      </c>
      <c r="Z40" s="9">
        <f t="shared" ref="Z40" si="9">X40-0.5*(X40-W40)</f>
        <v>1.5800000000000002E-2</v>
      </c>
      <c r="AA40" s="9">
        <f t="shared" ref="AA40" si="10">V40-0.5*(W40-V40)</f>
        <v>0</v>
      </c>
      <c r="AB40" s="1">
        <f t="shared" ref="AB40" si="11">0.5*(Z40+(1-0.5)*AA40)</f>
        <v>7.9000000000000008E-3</v>
      </c>
    </row>
    <row r="41" spans="1:28" s="4" customFormat="1" ht="13.8" x14ac:dyDescent="0.25">
      <c r="AB41" s="4">
        <f>AVERAGE(AB39:AB40)</f>
        <v>0.12846875000000002</v>
      </c>
    </row>
    <row r="42" spans="1:28" s="4" customFormat="1" ht="13.8" x14ac:dyDescent="0.25"/>
    <row r="43" spans="1:28" s="4" customFormat="1" ht="13.8" x14ac:dyDescent="0.25">
      <c r="A43" s="3" t="s">
        <v>28</v>
      </c>
      <c r="B43" s="3">
        <v>1</v>
      </c>
      <c r="C43" s="3">
        <v>2</v>
      </c>
      <c r="D43" s="3">
        <v>3</v>
      </c>
      <c r="E43" s="3">
        <v>4</v>
      </c>
      <c r="F43" s="3">
        <v>5</v>
      </c>
      <c r="G43" s="3">
        <v>6</v>
      </c>
      <c r="H43" s="3">
        <v>7</v>
      </c>
      <c r="I43" s="3">
        <v>8</v>
      </c>
      <c r="J43" s="3">
        <v>9</v>
      </c>
      <c r="K43" s="3">
        <v>10</v>
      </c>
      <c r="L43" s="3">
        <v>11</v>
      </c>
      <c r="M43" s="3">
        <v>12</v>
      </c>
      <c r="N43" s="3">
        <v>13</v>
      </c>
      <c r="O43" s="3">
        <v>14</v>
      </c>
      <c r="P43" s="3">
        <v>15</v>
      </c>
      <c r="Q43" s="3">
        <v>16</v>
      </c>
      <c r="R43" s="3">
        <v>17</v>
      </c>
      <c r="S43" s="3">
        <v>18</v>
      </c>
      <c r="T43" s="3">
        <v>19</v>
      </c>
      <c r="U43" s="3">
        <v>20</v>
      </c>
    </row>
    <row r="44" spans="1:28" s="4" customFormat="1" ht="13.8" x14ac:dyDescent="0.25">
      <c r="A44" s="2" t="s">
        <v>83</v>
      </c>
      <c r="B44" s="1">
        <f t="shared" ref="B44:U44" si="12">_xlfn.NUMBERVALUE(MID(B39,2,FIND(";",B39,1)-2))</f>
        <v>0.28460000000000002</v>
      </c>
      <c r="C44" s="1">
        <f t="shared" si="12"/>
        <v>0.28460000000000002</v>
      </c>
      <c r="D44" s="1">
        <f t="shared" si="12"/>
        <v>0.28460000000000002</v>
      </c>
      <c r="E44" s="1">
        <f t="shared" si="12"/>
        <v>0.28460000000000002</v>
      </c>
      <c r="F44" s="1">
        <f t="shared" si="12"/>
        <v>0.28460000000000002</v>
      </c>
      <c r="G44" s="1">
        <f t="shared" si="12"/>
        <v>0.28460000000000002</v>
      </c>
      <c r="H44" s="1">
        <f t="shared" si="12"/>
        <v>0.28460000000000002</v>
      </c>
      <c r="I44" s="1">
        <f t="shared" si="12"/>
        <v>0.28460000000000002</v>
      </c>
      <c r="J44" s="1">
        <f t="shared" si="12"/>
        <v>0.28460000000000002</v>
      </c>
      <c r="K44" s="1">
        <f t="shared" si="12"/>
        <v>0.28460000000000002</v>
      </c>
      <c r="L44" s="1">
        <f t="shared" si="12"/>
        <v>0.28460000000000002</v>
      </c>
      <c r="M44" s="1">
        <f t="shared" si="12"/>
        <v>0.28460000000000002</v>
      </c>
      <c r="N44" s="1">
        <f t="shared" si="12"/>
        <v>0.28460000000000002</v>
      </c>
      <c r="O44" s="1">
        <f t="shared" si="12"/>
        <v>0.28460000000000002</v>
      </c>
      <c r="P44" s="1">
        <f t="shared" si="12"/>
        <v>0.28460000000000002</v>
      </c>
      <c r="Q44" s="1">
        <f t="shared" si="12"/>
        <v>0.28460000000000002</v>
      </c>
      <c r="R44" s="1">
        <f t="shared" si="12"/>
        <v>0.28460000000000002</v>
      </c>
      <c r="S44" s="1">
        <f t="shared" si="12"/>
        <v>0.28460000000000002</v>
      </c>
      <c r="T44" s="1">
        <f t="shared" si="12"/>
        <v>0.28460000000000002</v>
      </c>
      <c r="U44" s="1">
        <f t="shared" si="12"/>
        <v>0.28460000000000002</v>
      </c>
    </row>
    <row r="45" spans="1:28" s="4" customFormat="1" ht="13.8" x14ac:dyDescent="0.25">
      <c r="A45" s="2" t="s">
        <v>84</v>
      </c>
      <c r="B45" s="1">
        <f t="shared" ref="B45:U45" si="13">_xlfn.NUMBERVALUE(MID(B40,2,FIND(";",B40,1)-2))</f>
        <v>0</v>
      </c>
      <c r="C45" s="1">
        <f t="shared" si="13"/>
        <v>0</v>
      </c>
      <c r="D45" s="1">
        <f t="shared" si="13"/>
        <v>0</v>
      </c>
      <c r="E45" s="1">
        <f t="shared" si="13"/>
        <v>0</v>
      </c>
      <c r="F45" s="1">
        <f t="shared" si="13"/>
        <v>0</v>
      </c>
      <c r="G45" s="1">
        <f t="shared" si="13"/>
        <v>0</v>
      </c>
      <c r="H45" s="1">
        <f t="shared" si="13"/>
        <v>0</v>
      </c>
      <c r="I45" s="1">
        <f t="shared" si="13"/>
        <v>0</v>
      </c>
      <c r="J45" s="1">
        <f t="shared" si="13"/>
        <v>0</v>
      </c>
      <c r="K45" s="1">
        <f t="shared" si="13"/>
        <v>0</v>
      </c>
      <c r="L45" s="1">
        <f t="shared" si="13"/>
        <v>0</v>
      </c>
      <c r="M45" s="1">
        <f t="shared" si="13"/>
        <v>0</v>
      </c>
      <c r="N45" s="1">
        <f t="shared" si="13"/>
        <v>0</v>
      </c>
      <c r="O45" s="1">
        <f t="shared" si="13"/>
        <v>0</v>
      </c>
      <c r="P45" s="1">
        <f t="shared" si="13"/>
        <v>0</v>
      </c>
      <c r="Q45" s="1">
        <f t="shared" si="13"/>
        <v>0</v>
      </c>
      <c r="R45" s="1">
        <f t="shared" si="13"/>
        <v>0</v>
      </c>
      <c r="S45" s="1">
        <f t="shared" si="13"/>
        <v>0</v>
      </c>
      <c r="T45" s="1">
        <f t="shared" si="13"/>
        <v>0</v>
      </c>
      <c r="U45" s="1">
        <f t="shared" si="13"/>
        <v>0</v>
      </c>
    </row>
    <row r="46" spans="1:28" s="4" customFormat="1" ht="13.8" x14ac:dyDescent="0.25"/>
    <row r="47" spans="1:28" s="4" customFormat="1" ht="13.8" x14ac:dyDescent="0.25">
      <c r="A47" s="3" t="s">
        <v>31</v>
      </c>
      <c r="B47" s="3">
        <v>1</v>
      </c>
      <c r="C47" s="3">
        <v>2</v>
      </c>
      <c r="D47" s="3">
        <v>3</v>
      </c>
      <c r="E47" s="3">
        <v>4</v>
      </c>
      <c r="F47" s="3">
        <v>5</v>
      </c>
      <c r="G47" s="3">
        <v>6</v>
      </c>
      <c r="H47" s="3">
        <v>7</v>
      </c>
      <c r="I47" s="3">
        <v>8</v>
      </c>
      <c r="J47" s="3">
        <v>9</v>
      </c>
      <c r="K47" s="3">
        <v>10</v>
      </c>
      <c r="L47" s="3">
        <v>11</v>
      </c>
      <c r="M47" s="3">
        <v>12</v>
      </c>
      <c r="N47" s="3">
        <v>13</v>
      </c>
      <c r="O47" s="3">
        <v>14</v>
      </c>
      <c r="P47" s="3">
        <v>15</v>
      </c>
      <c r="Q47" s="3">
        <v>16</v>
      </c>
      <c r="R47" s="3">
        <v>17</v>
      </c>
      <c r="S47" s="3">
        <v>18</v>
      </c>
      <c r="T47" s="3">
        <v>19</v>
      </c>
      <c r="U47" s="3">
        <v>20</v>
      </c>
    </row>
    <row r="48" spans="1:28" s="4" customFormat="1" ht="13.8" x14ac:dyDescent="0.25">
      <c r="A48" s="2" t="s">
        <v>83</v>
      </c>
      <c r="B48" s="1">
        <f t="shared" ref="B48:U48" si="14">_xlfn.NUMBERVALUE(MID(B39,FIND(";",B39,1)+1,FIND(";",B39,FIND(";",B39,1)+1)-FIND(";",B39,1)-1))</f>
        <v>0.3795</v>
      </c>
      <c r="C48" s="1">
        <f t="shared" si="14"/>
        <v>0.3795</v>
      </c>
      <c r="D48" s="1">
        <f t="shared" si="14"/>
        <v>0.3795</v>
      </c>
      <c r="E48" s="1">
        <f t="shared" si="14"/>
        <v>0.3795</v>
      </c>
      <c r="F48" s="1">
        <f t="shared" si="14"/>
        <v>0.3795</v>
      </c>
      <c r="G48" s="1">
        <f t="shared" si="14"/>
        <v>0.3795</v>
      </c>
      <c r="H48" s="1">
        <f t="shared" si="14"/>
        <v>0.3795</v>
      </c>
      <c r="I48" s="1">
        <f t="shared" si="14"/>
        <v>0.3795</v>
      </c>
      <c r="J48" s="1">
        <f t="shared" si="14"/>
        <v>0.3795</v>
      </c>
      <c r="K48" s="1">
        <f t="shared" si="14"/>
        <v>0.3795</v>
      </c>
      <c r="L48" s="1">
        <f t="shared" si="14"/>
        <v>0.3795</v>
      </c>
      <c r="M48" s="1">
        <f t="shared" si="14"/>
        <v>0.3795</v>
      </c>
      <c r="N48" s="1">
        <f t="shared" si="14"/>
        <v>0.3795</v>
      </c>
      <c r="O48" s="1">
        <f t="shared" si="14"/>
        <v>0.3795</v>
      </c>
      <c r="P48" s="1">
        <f t="shared" si="14"/>
        <v>0.3795</v>
      </c>
      <c r="Q48" s="1">
        <f t="shared" si="14"/>
        <v>0.3795</v>
      </c>
      <c r="R48" s="1">
        <f t="shared" si="14"/>
        <v>0.3795</v>
      </c>
      <c r="S48" s="1">
        <f t="shared" si="14"/>
        <v>0.3795</v>
      </c>
      <c r="T48" s="1">
        <f t="shared" si="14"/>
        <v>0.3795</v>
      </c>
      <c r="U48" s="1">
        <f t="shared" si="14"/>
        <v>0.3795</v>
      </c>
    </row>
    <row r="49" spans="1:21" s="4" customFormat="1" ht="13.8" x14ac:dyDescent="0.25">
      <c r="A49" s="2" t="s">
        <v>84</v>
      </c>
      <c r="B49" s="1">
        <f t="shared" ref="B49:U49" si="15">_xlfn.NUMBERVALUE(MID(B40,FIND(";",B40,1)+1,FIND(";",B40,FIND(";",B40,1)+1)-FIND(";",B40,1)-1))</f>
        <v>0</v>
      </c>
      <c r="C49" s="1">
        <f t="shared" si="15"/>
        <v>0</v>
      </c>
      <c r="D49" s="1">
        <f t="shared" si="15"/>
        <v>0</v>
      </c>
      <c r="E49" s="1">
        <f t="shared" si="15"/>
        <v>0</v>
      </c>
      <c r="F49" s="1">
        <f t="shared" si="15"/>
        <v>0</v>
      </c>
      <c r="G49" s="1">
        <f t="shared" si="15"/>
        <v>0</v>
      </c>
      <c r="H49" s="1">
        <f t="shared" si="15"/>
        <v>0</v>
      </c>
      <c r="I49" s="1">
        <f t="shared" si="15"/>
        <v>0</v>
      </c>
      <c r="J49" s="1">
        <f t="shared" si="15"/>
        <v>0</v>
      </c>
      <c r="K49" s="1">
        <f t="shared" si="15"/>
        <v>0</v>
      </c>
      <c r="L49" s="1">
        <f t="shared" si="15"/>
        <v>0</v>
      </c>
      <c r="M49" s="1">
        <f t="shared" si="15"/>
        <v>0</v>
      </c>
      <c r="N49" s="1">
        <f t="shared" si="15"/>
        <v>0</v>
      </c>
      <c r="O49" s="1">
        <f t="shared" si="15"/>
        <v>0</v>
      </c>
      <c r="P49" s="1">
        <f t="shared" si="15"/>
        <v>0</v>
      </c>
      <c r="Q49" s="1">
        <f t="shared" si="15"/>
        <v>0</v>
      </c>
      <c r="R49" s="1">
        <f t="shared" si="15"/>
        <v>0</v>
      </c>
      <c r="S49" s="1">
        <f t="shared" si="15"/>
        <v>0</v>
      </c>
      <c r="T49" s="1">
        <f t="shared" si="15"/>
        <v>0</v>
      </c>
      <c r="U49" s="1">
        <f t="shared" si="15"/>
        <v>0</v>
      </c>
    </row>
    <row r="50" spans="1:21" s="4" customFormat="1" ht="13.8" x14ac:dyDescent="0.25"/>
    <row r="51" spans="1:21" s="4" customFormat="1" ht="13.8" x14ac:dyDescent="0.25">
      <c r="A51" s="3" t="s">
        <v>73</v>
      </c>
      <c r="B51" s="3">
        <v>1</v>
      </c>
      <c r="C51" s="3">
        <v>2</v>
      </c>
      <c r="D51" s="3">
        <v>3</v>
      </c>
      <c r="E51" s="3">
        <v>4</v>
      </c>
      <c r="F51" s="3">
        <v>5</v>
      </c>
      <c r="G51" s="3">
        <v>6</v>
      </c>
      <c r="H51" s="3">
        <v>7</v>
      </c>
      <c r="I51" s="3">
        <v>8</v>
      </c>
      <c r="J51" s="3">
        <v>9</v>
      </c>
      <c r="K51" s="3">
        <v>10</v>
      </c>
      <c r="L51" s="3">
        <v>11</v>
      </c>
      <c r="M51" s="3">
        <v>12</v>
      </c>
      <c r="N51" s="3">
        <v>13</v>
      </c>
      <c r="O51" s="3">
        <v>14</v>
      </c>
      <c r="P51" s="3">
        <v>15</v>
      </c>
      <c r="Q51" s="3">
        <v>16</v>
      </c>
      <c r="R51" s="3">
        <v>17</v>
      </c>
      <c r="S51" s="3">
        <v>18</v>
      </c>
      <c r="T51" s="3">
        <v>19</v>
      </c>
      <c r="U51" s="3">
        <v>20</v>
      </c>
    </row>
    <row r="52" spans="1:21" s="4" customFormat="1" ht="13.8" x14ac:dyDescent="0.25">
      <c r="A52" s="2" t="s">
        <v>83</v>
      </c>
      <c r="B52" s="1">
        <f t="shared" ref="B52:U52" si="16">_xlfn.NUMBERVALUE(MID(B39,FIND(";",B39,FIND(";",B39,1)+1)+1, LEN(B39)-FIND(";",B39,FIND(";",B39,1)+1)-1))</f>
        <v>0.3795</v>
      </c>
      <c r="C52" s="1">
        <f t="shared" si="16"/>
        <v>0.3795</v>
      </c>
      <c r="D52" s="1">
        <f t="shared" si="16"/>
        <v>0.3795</v>
      </c>
      <c r="E52" s="1">
        <f t="shared" si="16"/>
        <v>0.3795</v>
      </c>
      <c r="F52" s="1">
        <f t="shared" si="16"/>
        <v>0.3795</v>
      </c>
      <c r="G52" s="1">
        <f t="shared" si="16"/>
        <v>0.3795</v>
      </c>
      <c r="H52" s="1">
        <f t="shared" si="16"/>
        <v>0.3795</v>
      </c>
      <c r="I52" s="1">
        <f t="shared" si="16"/>
        <v>0.3795</v>
      </c>
      <c r="J52" s="1">
        <f t="shared" si="16"/>
        <v>0.3795</v>
      </c>
      <c r="K52" s="1">
        <f t="shared" si="16"/>
        <v>0.3795</v>
      </c>
      <c r="L52" s="1">
        <f t="shared" si="16"/>
        <v>0.3795</v>
      </c>
      <c r="M52" s="1">
        <f t="shared" si="16"/>
        <v>0.3795</v>
      </c>
      <c r="N52" s="1">
        <f t="shared" si="16"/>
        <v>0.3795</v>
      </c>
      <c r="O52" s="1">
        <f t="shared" si="16"/>
        <v>0.3795</v>
      </c>
      <c r="P52" s="1">
        <f t="shared" si="16"/>
        <v>0.3795</v>
      </c>
      <c r="Q52" s="1">
        <f t="shared" si="16"/>
        <v>0.3795</v>
      </c>
      <c r="R52" s="1">
        <f t="shared" si="16"/>
        <v>0.3795</v>
      </c>
      <c r="S52" s="1">
        <f t="shared" si="16"/>
        <v>0.3795</v>
      </c>
      <c r="T52" s="1">
        <f t="shared" si="16"/>
        <v>0.3795</v>
      </c>
      <c r="U52" s="1">
        <f t="shared" si="16"/>
        <v>0.3795</v>
      </c>
    </row>
    <row r="53" spans="1:21" s="4" customFormat="1" ht="13.8" x14ac:dyDescent="0.25">
      <c r="A53" s="2" t="s">
        <v>84</v>
      </c>
      <c r="B53" s="1">
        <f t="shared" ref="B53:U53" si="17">_xlfn.NUMBERVALUE(MID(B40,FIND(";",B40,FIND(";",B40,1)+1)+1, LEN(B40)-FIND(";",B40,FIND(";",B40,1)+1)-1))</f>
        <v>3.1600000000000003E-2</v>
      </c>
      <c r="C53" s="1">
        <f t="shared" si="17"/>
        <v>3.1600000000000003E-2</v>
      </c>
      <c r="D53" s="1">
        <f t="shared" si="17"/>
        <v>3.1600000000000003E-2</v>
      </c>
      <c r="E53" s="1">
        <f t="shared" si="17"/>
        <v>3.1600000000000003E-2</v>
      </c>
      <c r="F53" s="1">
        <f t="shared" si="17"/>
        <v>3.1600000000000003E-2</v>
      </c>
      <c r="G53" s="1">
        <f t="shared" si="17"/>
        <v>3.1600000000000003E-2</v>
      </c>
      <c r="H53" s="1">
        <f t="shared" si="17"/>
        <v>3.1600000000000003E-2</v>
      </c>
      <c r="I53" s="1">
        <f t="shared" si="17"/>
        <v>3.1600000000000003E-2</v>
      </c>
      <c r="J53" s="1">
        <f t="shared" si="17"/>
        <v>3.1600000000000003E-2</v>
      </c>
      <c r="K53" s="1">
        <f t="shared" si="17"/>
        <v>3.1600000000000003E-2</v>
      </c>
      <c r="L53" s="1">
        <f t="shared" si="17"/>
        <v>3.1600000000000003E-2</v>
      </c>
      <c r="M53" s="1">
        <f t="shared" si="17"/>
        <v>3.1600000000000003E-2</v>
      </c>
      <c r="N53" s="1">
        <f t="shared" si="17"/>
        <v>3.1600000000000003E-2</v>
      </c>
      <c r="O53" s="1">
        <f t="shared" si="17"/>
        <v>3.1600000000000003E-2</v>
      </c>
      <c r="P53" s="1">
        <f t="shared" si="17"/>
        <v>3.1600000000000003E-2</v>
      </c>
      <c r="Q53" s="1">
        <f t="shared" si="17"/>
        <v>3.1600000000000003E-2</v>
      </c>
      <c r="R53" s="1">
        <f t="shared" si="17"/>
        <v>3.1600000000000003E-2</v>
      </c>
      <c r="S53" s="1">
        <f t="shared" si="17"/>
        <v>3.1600000000000003E-2</v>
      </c>
      <c r="T53" s="1">
        <f t="shared" si="17"/>
        <v>3.1600000000000003E-2</v>
      </c>
      <c r="U53" s="1">
        <f t="shared" si="17"/>
        <v>3.1600000000000003E-2</v>
      </c>
    </row>
  </sheetData>
  <mergeCells count="1">
    <mergeCell ref="A37:U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"/>
  <sheetViews>
    <sheetView zoomScale="70" zoomScaleNormal="70" workbookViewId="0">
      <selection activeCell="B3" sqref="B3"/>
    </sheetView>
  </sheetViews>
  <sheetFormatPr defaultRowHeight="13.8" x14ac:dyDescent="0.25"/>
  <cols>
    <col min="1" max="1" width="19.44140625" style="4" bestFit="1" customWidth="1"/>
    <col min="2" max="21" width="21.5546875" style="4" bestFit="1" customWidth="1"/>
    <col min="22" max="24" width="8.88671875" style="4"/>
    <col min="25" max="25" width="21.5546875" style="4" bestFit="1" customWidth="1"/>
    <col min="26" max="16384" width="8.88671875" style="4"/>
  </cols>
  <sheetData>
    <row r="1" spans="1:29" x14ac:dyDescent="0.25">
      <c r="A1" s="13" t="s">
        <v>19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9" x14ac:dyDescent="0.25">
      <c r="A2" s="3" t="s">
        <v>0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</row>
    <row r="3" spans="1:29" x14ac:dyDescent="0.25">
      <c r="A3" s="2" t="s">
        <v>3</v>
      </c>
      <c r="B3" s="1" t="str">
        <f>INDEX('RAW DATA DELPHI'!$G$2:$G$101,REF!B2)</f>
        <v>VI;VH</v>
      </c>
      <c r="C3" s="1" t="str">
        <f>INDEX('RAW DATA DELPHI'!$G$2:$G$101,REF!C2)</f>
        <v>AI;VH</v>
      </c>
      <c r="D3" s="1" t="str">
        <f>INDEX('RAW DATA DELPHI'!$G$2:$G$101,REF!D2)</f>
        <v>VI;H</v>
      </c>
      <c r="E3" s="1" t="str">
        <f>INDEX('RAW DATA DELPHI'!$G$2:$G$101,REF!E2)</f>
        <v>FI;H</v>
      </c>
      <c r="F3" s="1" t="str">
        <f>INDEX('RAW DATA DELPHI'!$G$2:$G$101,REF!F2)</f>
        <v>FI;H</v>
      </c>
      <c r="G3" s="1" t="str">
        <f>INDEX('RAW DATA DELPHI'!$G$2:$G$101,REF!G2)</f>
        <v>AI;VH</v>
      </c>
      <c r="H3" s="1" t="str">
        <f>INDEX('RAW DATA DELPHI'!$G$2:$G$101,REF!H2)</f>
        <v>VI;H</v>
      </c>
      <c r="I3" s="1" t="str">
        <f>INDEX('RAW DATA DELPHI'!$G$2:$G$101,REF!I2)</f>
        <v>VI;VH</v>
      </c>
      <c r="J3" s="1" t="str">
        <f>INDEX('RAW DATA DELPHI'!$G$2:$G$101,REF!J2)</f>
        <v>FI;H</v>
      </c>
      <c r="K3" s="1" t="str">
        <f>INDEX('RAW DATA DELPHI'!$G$2:$G$101,REF!K2)</f>
        <v>AI;H</v>
      </c>
      <c r="L3" s="1" t="str">
        <f>INDEX('RAW DATA DELPHI'!$G$2:$G$101,REF!L2)</f>
        <v>AI;H</v>
      </c>
      <c r="M3" s="1" t="str">
        <f>INDEX('RAW DATA DELPHI'!$G$2:$G$101,REF!M2)</f>
        <v>VI;VH</v>
      </c>
      <c r="N3" s="1" t="str">
        <f>INDEX('RAW DATA DELPHI'!$G$2:$G$101,REF!N2)</f>
        <v>AI;VH</v>
      </c>
      <c r="O3" s="1" t="str">
        <f>INDEX('RAW DATA DELPHI'!$G$2:$G$101,REF!O2)</f>
        <v>FI;M</v>
      </c>
      <c r="P3" s="1" t="str">
        <f>INDEX('RAW DATA DELPHI'!$G$2:$G$101,REF!P2)</f>
        <v>FI;H</v>
      </c>
      <c r="Q3" s="1" t="str">
        <f>INDEX('RAW DATA DELPHI'!$G$2:$G$101,REF!Q2)</f>
        <v>VI;VH</v>
      </c>
      <c r="R3" s="1" t="str">
        <f>INDEX('RAW DATA DELPHI'!$G$2:$G$101,REF!R2)</f>
        <v>AI;H</v>
      </c>
      <c r="S3" s="1" t="str">
        <f>INDEX('RAW DATA DELPHI'!$G$2:$G$101,REF!S2)</f>
        <v>AI;VH</v>
      </c>
      <c r="T3" s="1" t="str">
        <f>INDEX('RAW DATA DELPHI'!$G$2:$G$101,REF!T2)</f>
        <v>VI;M</v>
      </c>
      <c r="U3" s="1" t="str">
        <f>INDEX('RAW DATA DELPHI'!$G$2:$G$101,REF!U2)</f>
        <v>VI;H</v>
      </c>
    </row>
    <row r="4" spans="1:29" x14ac:dyDescent="0.25">
      <c r="A4" s="2" t="s">
        <v>5</v>
      </c>
      <c r="B4" s="1" t="str">
        <f>INDEX('RAW DATA DELPHI'!$G$2:$G$101,REF!B3)</f>
        <v>VI;VH</v>
      </c>
      <c r="C4" s="1" t="str">
        <f>INDEX('RAW DATA DELPHI'!$G$2:$G$101,REF!C3)</f>
        <v>AI;H</v>
      </c>
      <c r="D4" s="1" t="str">
        <f>INDEX('RAW DATA DELPHI'!$G$2:$G$101,REF!D3)</f>
        <v>AI;H</v>
      </c>
      <c r="E4" s="1" t="str">
        <f>INDEX('RAW DATA DELPHI'!$G$2:$G$101,REF!E3)</f>
        <v>VI;M</v>
      </c>
      <c r="F4" s="1" t="str">
        <f>INDEX('RAW DATA DELPHI'!$G$2:$G$101,REF!F3)</f>
        <v>VI;VH</v>
      </c>
      <c r="G4" s="1" t="str">
        <f>INDEX('RAW DATA DELPHI'!$G$2:$G$101,REF!G3)</f>
        <v>AI;VH</v>
      </c>
      <c r="H4" s="1" t="str">
        <f>INDEX('RAW DATA DELPHI'!$G$2:$G$101,REF!H3)</f>
        <v>FI;L</v>
      </c>
      <c r="I4" s="1" t="str">
        <f>INDEX('RAW DATA DELPHI'!$G$2:$G$101,REF!I3)</f>
        <v>VI;H</v>
      </c>
      <c r="J4" s="1" t="str">
        <f>INDEX('RAW DATA DELPHI'!$G$2:$G$101,REF!J3)</f>
        <v>AI;H</v>
      </c>
      <c r="K4" s="1" t="str">
        <f>INDEX('RAW DATA DELPHI'!$G$2:$G$101,REF!K3)</f>
        <v>AI;H</v>
      </c>
      <c r="L4" s="1" t="str">
        <f>INDEX('RAW DATA DELPHI'!$G$2:$G$101,REF!L3)</f>
        <v>VI;VH</v>
      </c>
      <c r="M4" s="1" t="str">
        <f>INDEX('RAW DATA DELPHI'!$G$2:$G$101,REF!M3)</f>
        <v>AI;H</v>
      </c>
      <c r="N4" s="1" t="str">
        <f>INDEX('RAW DATA DELPHI'!$G$2:$G$101,REF!N3)</f>
        <v>VI;VH</v>
      </c>
      <c r="O4" s="1" t="str">
        <f>INDEX('RAW DATA DELPHI'!$G$2:$G$101,REF!O3)</f>
        <v>FI;L</v>
      </c>
      <c r="P4" s="1" t="str">
        <f>INDEX('RAW DATA DELPHI'!$G$2:$G$101,REF!P3)</f>
        <v>VI;VH</v>
      </c>
      <c r="Q4" s="1" t="str">
        <f>INDEX('RAW DATA DELPHI'!$G$2:$G$101,REF!Q3)</f>
        <v>VI;VH</v>
      </c>
      <c r="R4" s="1" t="str">
        <f>INDEX('RAW DATA DELPHI'!$G$2:$G$101,REF!R3)</f>
        <v>VI;H</v>
      </c>
      <c r="S4" s="1" t="str">
        <f>INDEX('RAW DATA DELPHI'!$G$2:$G$101,REF!S3)</f>
        <v>FI;H</v>
      </c>
      <c r="T4" s="1" t="str">
        <f>INDEX('RAW DATA DELPHI'!$G$2:$G$101,REF!T3)</f>
        <v>AI;M</v>
      </c>
      <c r="U4" s="1" t="str">
        <f>INDEX('RAW DATA DELPHI'!$G$2:$G$101,REF!U3)</f>
        <v>FI;VH</v>
      </c>
    </row>
    <row r="5" spans="1:29" x14ac:dyDescent="0.25">
      <c r="A5" s="2" t="s">
        <v>7</v>
      </c>
      <c r="B5" s="1" t="str">
        <f>INDEX('RAW DATA DELPHI'!$G$2:$G$101,REF!B4)</f>
        <v>VI;VH</v>
      </c>
      <c r="C5" s="1" t="str">
        <f>INDEX('RAW DATA DELPHI'!$G$2:$G$101,REF!C4)</f>
        <v>FI;VH</v>
      </c>
      <c r="D5" s="1" t="str">
        <f>INDEX('RAW DATA DELPHI'!$G$2:$G$101,REF!D4)</f>
        <v>AI;VH</v>
      </c>
      <c r="E5" s="1" t="str">
        <f>INDEX('RAW DATA DELPHI'!$G$2:$G$101,REF!E4)</f>
        <v>AI;H</v>
      </c>
      <c r="F5" s="1" t="str">
        <f>INDEX('RAW DATA DELPHI'!$G$2:$G$101,REF!F4)</f>
        <v>FI;H</v>
      </c>
      <c r="G5" s="1" t="str">
        <f>INDEX('RAW DATA DELPHI'!$G$2:$G$101,REF!G4)</f>
        <v>AI;VH</v>
      </c>
      <c r="H5" s="1" t="str">
        <f>INDEX('RAW DATA DELPHI'!$G$2:$G$101,REF!H4)</f>
        <v>VI;H</v>
      </c>
      <c r="I5" s="1" t="str">
        <f>INDEX('RAW DATA DELPHI'!$G$2:$G$101,REF!I4)</f>
        <v>FI;L</v>
      </c>
      <c r="J5" s="1" t="str">
        <f>INDEX('RAW DATA DELPHI'!$G$2:$G$101,REF!J4)</f>
        <v>FI;VH</v>
      </c>
      <c r="K5" s="1" t="str">
        <f>INDEX('RAW DATA DELPHI'!$G$2:$G$101,REF!K4)</f>
        <v>AI;VH</v>
      </c>
      <c r="L5" s="1" t="str">
        <f>INDEX('RAW DATA DELPHI'!$G$2:$G$101,REF!L4)</f>
        <v>AI;VH</v>
      </c>
      <c r="M5" s="1" t="str">
        <f>INDEX('RAW DATA DELPHI'!$G$2:$G$101,REF!M4)</f>
        <v>FI;VH</v>
      </c>
      <c r="N5" s="1" t="str">
        <f>INDEX('RAW DATA DELPHI'!$G$2:$G$101,REF!N4)</f>
        <v>VI;M</v>
      </c>
      <c r="O5" s="1" t="str">
        <f>INDEX('RAW DATA DELPHI'!$G$2:$G$101,REF!O4)</f>
        <v>VI;H</v>
      </c>
      <c r="P5" s="1" t="str">
        <f>INDEX('RAW DATA DELPHI'!$G$2:$G$101,REF!P4)</f>
        <v>VI;H</v>
      </c>
      <c r="Q5" s="1" t="str">
        <f>INDEX('RAW DATA DELPHI'!$G$2:$G$101,REF!Q4)</f>
        <v>FI;H</v>
      </c>
      <c r="R5" s="1" t="str">
        <f>INDEX('RAW DATA DELPHI'!$G$2:$G$101,REF!R4)</f>
        <v>WI;VH</v>
      </c>
      <c r="S5" s="1" t="str">
        <f>INDEX('RAW DATA DELPHI'!$G$2:$G$101,REF!S4)</f>
        <v>AI;VH</v>
      </c>
      <c r="T5" s="1" t="str">
        <f>INDEX('RAW DATA DELPHI'!$G$2:$G$101,REF!T4)</f>
        <v>VI;M</v>
      </c>
      <c r="U5" s="1" t="str">
        <f>INDEX('RAW DATA DELPHI'!$G$2:$G$101,REF!U4)</f>
        <v>FI;H</v>
      </c>
    </row>
    <row r="6" spans="1:29" x14ac:dyDescent="0.25">
      <c r="A6" s="2" t="s">
        <v>9</v>
      </c>
      <c r="B6" s="1" t="str">
        <f>INDEX('RAW DATA DELPHI'!$G$2:$G$101,REF!B5)</f>
        <v>VI;VH</v>
      </c>
      <c r="C6" s="1" t="str">
        <f>INDEX('RAW DATA DELPHI'!$G$2:$G$101,REF!C5)</f>
        <v>VI;M</v>
      </c>
      <c r="D6" s="1" t="str">
        <f>INDEX('RAW DATA DELPHI'!$G$2:$G$101,REF!D5)</f>
        <v>FI;VH</v>
      </c>
      <c r="E6" s="1" t="str">
        <f>INDEX('RAW DATA DELPHI'!$G$2:$G$101,REF!E5)</f>
        <v>VI;VH</v>
      </c>
      <c r="F6" s="1" t="str">
        <f>INDEX('RAW DATA DELPHI'!$G$2:$G$101,REF!F5)</f>
        <v>AI;VH</v>
      </c>
      <c r="G6" s="1" t="str">
        <f>INDEX('RAW DATA DELPHI'!$G$2:$G$101,REF!G5)</f>
        <v>FI;M</v>
      </c>
      <c r="H6" s="1" t="str">
        <f>INDEX('RAW DATA DELPHI'!$G$2:$G$101,REF!H5)</f>
        <v>AI;VH</v>
      </c>
      <c r="I6" s="1" t="str">
        <f>INDEX('RAW DATA DELPHI'!$G$2:$G$101,REF!I5)</f>
        <v>VI;VH</v>
      </c>
      <c r="J6" s="1" t="str">
        <f>INDEX('RAW DATA DELPHI'!$G$2:$G$101,REF!J5)</f>
        <v>VI;M</v>
      </c>
      <c r="K6" s="1" t="str">
        <f>INDEX('RAW DATA DELPHI'!$G$2:$G$101,REF!K5)</f>
        <v>VI;VH</v>
      </c>
      <c r="L6" s="1" t="str">
        <f>INDEX('RAW DATA DELPHI'!$G$2:$G$101,REF!L5)</f>
        <v>VI;H</v>
      </c>
      <c r="M6" s="1" t="str">
        <f>INDEX('RAW DATA DELPHI'!$G$2:$G$101,REF!M5)</f>
        <v>FI;H</v>
      </c>
      <c r="N6" s="1" t="str">
        <f>INDEX('RAW DATA DELPHI'!$G$2:$G$101,REF!N5)</f>
        <v>VI;VH</v>
      </c>
      <c r="O6" s="1" t="str">
        <f>INDEX('RAW DATA DELPHI'!$G$2:$G$101,REF!O5)</f>
        <v>VI;VH</v>
      </c>
      <c r="P6" s="1" t="str">
        <f>INDEX('RAW DATA DELPHI'!$G$2:$G$101,REF!P5)</f>
        <v>FI;M</v>
      </c>
      <c r="Q6" s="1" t="str">
        <f>INDEX('RAW DATA DELPHI'!$G$2:$G$101,REF!Q5)</f>
        <v>AI;M</v>
      </c>
      <c r="R6" s="1" t="str">
        <f>INDEX('RAW DATA DELPHI'!$G$2:$G$101,REF!R5)</f>
        <v>VI;VH</v>
      </c>
      <c r="S6" s="1" t="str">
        <f>INDEX('RAW DATA DELPHI'!$G$2:$G$101,REF!S5)</f>
        <v>VI;VH</v>
      </c>
      <c r="T6" s="1" t="str">
        <f>INDEX('RAW DATA DELPHI'!$G$2:$G$101,REF!T5)</f>
        <v>VI;VH</v>
      </c>
      <c r="U6" s="1" t="str">
        <f>INDEX('RAW DATA DELPHI'!$G$2:$G$101,REF!U5)</f>
        <v>VI;VH</v>
      </c>
    </row>
    <row r="7" spans="1:29" x14ac:dyDescent="0.25">
      <c r="A7" s="2" t="s">
        <v>11</v>
      </c>
      <c r="B7" s="1" t="str">
        <f>INDEX('RAW DATA DELPHI'!$G$2:$G$101,REF!B6)</f>
        <v>VI;VH</v>
      </c>
      <c r="C7" s="1" t="str">
        <f>INDEX('RAW DATA DELPHI'!$G$2:$G$101,REF!C6)</f>
        <v>VI;VH</v>
      </c>
      <c r="D7" s="1" t="str">
        <f>INDEX('RAW DATA DELPHI'!$G$2:$G$101,REF!D6)</f>
        <v>FI;H</v>
      </c>
      <c r="E7" s="1" t="str">
        <f>INDEX('RAW DATA DELPHI'!$G$2:$G$101,REF!E6)</f>
        <v>AI;H</v>
      </c>
      <c r="F7" s="1" t="str">
        <f>INDEX('RAW DATA DELPHI'!$G$2:$G$101,REF!F6)</f>
        <v>VI;VH</v>
      </c>
      <c r="G7" s="1" t="str">
        <f>INDEX('RAW DATA DELPHI'!$G$2:$G$101,REF!G6)</f>
        <v>VI;H</v>
      </c>
      <c r="H7" s="1" t="str">
        <f>INDEX('RAW DATA DELPHI'!$G$2:$G$101,REF!H6)</f>
        <v>AI;VH</v>
      </c>
      <c r="I7" s="1" t="str">
        <f>INDEX('RAW DATA DELPHI'!$G$2:$G$101,REF!I6)</f>
        <v>AI;H</v>
      </c>
      <c r="J7" s="1" t="str">
        <f>INDEX('RAW DATA DELPHI'!$G$2:$G$101,REF!J6)</f>
        <v>VI;VH</v>
      </c>
      <c r="K7" s="1" t="str">
        <f>INDEX('RAW DATA DELPHI'!$G$2:$G$101,REF!K6)</f>
        <v>VI;H</v>
      </c>
      <c r="L7" s="1" t="str">
        <f>INDEX('RAW DATA DELPHI'!$G$2:$G$101,REF!L6)</f>
        <v>VI;M</v>
      </c>
      <c r="M7" s="1" t="str">
        <f>INDEX('RAW DATA DELPHI'!$G$2:$G$101,REF!M6)</f>
        <v>FI;VH</v>
      </c>
      <c r="N7" s="1" t="str">
        <f>INDEX('RAW DATA DELPHI'!$G$2:$G$101,REF!N6)</f>
        <v>AI;H</v>
      </c>
      <c r="O7" s="1" t="str">
        <f>INDEX('RAW DATA DELPHI'!$G$2:$G$101,REF!O6)</f>
        <v>VI;VH</v>
      </c>
      <c r="P7" s="1" t="str">
        <f>INDEX('RAW DATA DELPHI'!$G$2:$G$101,REF!P6)</f>
        <v>VI;H</v>
      </c>
      <c r="Q7" s="1" t="str">
        <f>INDEX('RAW DATA DELPHI'!$G$2:$G$101,REF!Q6)</f>
        <v>VI;VH</v>
      </c>
      <c r="R7" s="1" t="str">
        <f>INDEX('RAW DATA DELPHI'!$G$2:$G$101,REF!R6)</f>
        <v>FI;H</v>
      </c>
      <c r="S7" s="1" t="str">
        <f>INDEX('RAW DATA DELPHI'!$G$2:$G$101,REF!S6)</f>
        <v>FI;H</v>
      </c>
      <c r="T7" s="1" t="str">
        <f>INDEX('RAW DATA DELPHI'!$G$2:$G$101,REF!T6)</f>
        <v>VI;VH</v>
      </c>
      <c r="U7" s="1" t="str">
        <f>INDEX('RAW DATA DELPHI'!$G$2:$G$101,REF!U6)</f>
        <v>AI;H</v>
      </c>
    </row>
    <row r="9" spans="1:29" x14ac:dyDescent="0.25">
      <c r="A9" s="12" t="s">
        <v>82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9" x14ac:dyDescent="0.25">
      <c r="A10" s="3" t="s">
        <v>0</v>
      </c>
      <c r="B10" s="3">
        <v>1</v>
      </c>
      <c r="C10" s="3">
        <v>2</v>
      </c>
      <c r="D10" s="3">
        <v>3</v>
      </c>
      <c r="E10" s="3">
        <v>4</v>
      </c>
      <c r="F10" s="3">
        <v>5</v>
      </c>
      <c r="G10" s="3">
        <v>6</v>
      </c>
      <c r="H10" s="3">
        <v>7</v>
      </c>
      <c r="I10" s="3">
        <v>8</v>
      </c>
      <c r="J10" s="3">
        <v>9</v>
      </c>
      <c r="K10" s="3">
        <v>10</v>
      </c>
      <c r="L10" s="3">
        <v>11</v>
      </c>
      <c r="M10" s="3">
        <v>12</v>
      </c>
      <c r="N10" s="3">
        <v>13</v>
      </c>
      <c r="O10" s="3">
        <v>14</v>
      </c>
      <c r="P10" s="3">
        <v>15</v>
      </c>
      <c r="Q10" s="3">
        <v>16</v>
      </c>
      <c r="R10" s="3">
        <v>17</v>
      </c>
      <c r="S10" s="3">
        <v>18</v>
      </c>
      <c r="T10" s="3">
        <v>19</v>
      </c>
      <c r="U10" s="3">
        <v>20</v>
      </c>
      <c r="V10" s="3" t="s">
        <v>74</v>
      </c>
      <c r="W10" s="3" t="s">
        <v>75</v>
      </c>
      <c r="X10" s="3" t="s">
        <v>76</v>
      </c>
      <c r="Y10" s="8" t="s">
        <v>77</v>
      </c>
      <c r="Z10" s="8" t="s">
        <v>79</v>
      </c>
      <c r="AA10" s="8" t="s">
        <v>80</v>
      </c>
      <c r="AB10" s="3" t="s">
        <v>81</v>
      </c>
      <c r="AC10" s="11" t="s">
        <v>86</v>
      </c>
    </row>
    <row r="11" spans="1:29" x14ac:dyDescent="0.25">
      <c r="A11" s="2" t="s">
        <v>3</v>
      </c>
      <c r="B11" s="1" t="str">
        <f>VLOOKUP('DELPHI CALCULATION'!B3,REF!$C$9:$D$33,2,FALSE)</f>
        <v>(0,1897; 0,2846; 0,3795)</v>
      </c>
      <c r="C11" s="1" t="str">
        <f>VLOOKUP('DELPHI CALCULATION'!C3,REF!$C$9:$D$33,2,FALSE)</f>
        <v>(0,2846; 0,3795; 0,3795)</v>
      </c>
      <c r="D11" s="1" t="str">
        <f>VLOOKUP('DELPHI CALCULATION'!D3,REF!$C$9:$D$33,2,FALSE)</f>
        <v>(0,1673; 0,251; 0,3347)</v>
      </c>
      <c r="E11" s="1" t="str">
        <f>VLOOKUP('DELPHI CALCULATION'!E3,REF!$C$9:$D$33,2,FALSE)</f>
        <v>(0,0837; 0,1673; 0,251)</v>
      </c>
      <c r="F11" s="1" t="str">
        <f>VLOOKUP('DELPHI CALCULATION'!F3,REF!$C$9:$D$33,2,FALSE)</f>
        <v>(0,0837; 0,1673; 0,251)</v>
      </c>
      <c r="G11" s="1" t="str">
        <f>VLOOKUP('DELPHI CALCULATION'!G3,REF!$C$9:$D$33,2,FALSE)</f>
        <v>(0,2846; 0,3795; 0,3795)</v>
      </c>
      <c r="H11" s="1" t="str">
        <f>VLOOKUP('DELPHI CALCULATION'!H3,REF!$C$9:$D$33,2,FALSE)</f>
        <v>(0,1673; 0,251; 0,3347)</v>
      </c>
      <c r="I11" s="1" t="str">
        <f>VLOOKUP('DELPHI CALCULATION'!I3,REF!$C$9:$D$33,2,FALSE)</f>
        <v>(0,1897; 0,2846; 0,3795)</v>
      </c>
      <c r="J11" s="1" t="str">
        <f>VLOOKUP('DELPHI CALCULATION'!J3,REF!$C$9:$D$33,2,FALSE)</f>
        <v>(0,0837; 0,1673; 0,251)</v>
      </c>
      <c r="K11" s="1" t="str">
        <f>VLOOKUP('DELPHI CALCULATION'!K3,REF!$C$9:$D$33,2,FALSE)</f>
        <v>(0,251; 0,3347; 0,3347)</v>
      </c>
      <c r="L11" s="1" t="str">
        <f>VLOOKUP('DELPHI CALCULATION'!L3,REF!$C$9:$D$33,2,FALSE)</f>
        <v>(0,251; 0,3347; 0,3347)</v>
      </c>
      <c r="M11" s="1" t="str">
        <f>VLOOKUP('DELPHI CALCULATION'!M3,REF!$C$9:$D$33,2,FALSE)</f>
        <v>(0,1897; 0,2846; 0,3795)</v>
      </c>
      <c r="N11" s="1" t="str">
        <f>VLOOKUP('DELPHI CALCULATION'!N3,REF!$C$9:$D$33,2,FALSE)</f>
        <v>(0,2846; 0,3795; 0,3795)</v>
      </c>
      <c r="O11" s="1" t="str">
        <f>VLOOKUP('DELPHI CALCULATION'!O3,REF!$C$9:$D$33,2,FALSE)</f>
        <v>(0,0707; 0,1414; 0,2121)</v>
      </c>
      <c r="P11" s="1" t="str">
        <f>VLOOKUP('DELPHI CALCULATION'!P3,REF!$C$9:$D$33,2,FALSE)</f>
        <v>(0,0837; 0,1673; 0,251)</v>
      </c>
      <c r="Q11" s="1" t="str">
        <f>VLOOKUP('DELPHI CALCULATION'!Q3,REF!$C$9:$D$33,2,FALSE)</f>
        <v>(0,1897; 0,2846; 0,3795)</v>
      </c>
      <c r="R11" s="1" t="str">
        <f>VLOOKUP('DELPHI CALCULATION'!R3,REF!$C$9:$D$33,2,FALSE)</f>
        <v>(0,251; 0,3347; 0,3347)</v>
      </c>
      <c r="S11" s="1" t="str">
        <f>VLOOKUP('DELPHI CALCULATION'!S3,REF!$C$9:$D$33,2,FALSE)</f>
        <v>(0,2846; 0,3795; 0,3795)</v>
      </c>
      <c r="T11" s="1" t="str">
        <f>VLOOKUP('DELPHI CALCULATION'!T3,REF!$C$9:$D$33,2,FALSE)</f>
        <v>(0,1414; 0,2121; 0,2828)</v>
      </c>
      <c r="U11" s="1" t="str">
        <f>VLOOKUP('DELPHI CALCULATION'!U3,REF!$C$9:$D$33,2,FALSE)</f>
        <v>(0,1673; 0,251; 0,3347)</v>
      </c>
      <c r="V11" s="1">
        <f>MIN(B19:U19)</f>
        <v>7.0699999999999999E-2</v>
      </c>
      <c r="W11" s="1">
        <f>ROUND(PRODUCT(B26:U26)^(1/20),4)</f>
        <v>0.25940000000000002</v>
      </c>
      <c r="X11" s="1">
        <f>MAX(B33:U33)</f>
        <v>0.3795</v>
      </c>
      <c r="Y11" s="9" t="str">
        <f>_xlfn.CONCAT("(", V11, "; ", W11, "; ", X11, ")")</f>
        <v>(0,0707; 0,2594; 0,3795)</v>
      </c>
      <c r="Z11" s="9">
        <f>X11-0.5*(X11-W11)</f>
        <v>0.31945000000000001</v>
      </c>
      <c r="AA11" s="9">
        <f>V11-0.5*(W11-V11)</f>
        <v>-2.3650000000000018E-2</v>
      </c>
      <c r="AB11" s="1">
        <f>ROUND(0.5*(Z11+(1-0.5)*AA11),4)</f>
        <v>0.15379999999999999</v>
      </c>
      <c r="AC11" s="10" t="str">
        <f>IF(AB11&gt;=AB16,"Accepted","Rejected")</f>
        <v>Accepted</v>
      </c>
    </row>
    <row r="12" spans="1:29" x14ac:dyDescent="0.25">
      <c r="A12" s="2" t="s">
        <v>5</v>
      </c>
      <c r="B12" s="1" t="str">
        <f>VLOOKUP('DELPHI CALCULATION'!B4,REF!$C$9:$D$33,2,FALSE)</f>
        <v>(0,1897; 0,2846; 0,3795)</v>
      </c>
      <c r="C12" s="1" t="str">
        <f>VLOOKUP('DELPHI CALCULATION'!C4,REF!$C$9:$D$33,2,FALSE)</f>
        <v>(0,251; 0,3347; 0,3347)</v>
      </c>
      <c r="D12" s="1" t="str">
        <f>VLOOKUP('DELPHI CALCULATION'!D4,REF!$C$9:$D$33,2,FALSE)</f>
        <v>(0,251; 0,3347; 0,3347)</v>
      </c>
      <c r="E12" s="1" t="str">
        <f>VLOOKUP('DELPHI CALCULATION'!E4,REF!$C$9:$D$33,2,FALSE)</f>
        <v>(0,1414; 0,2121; 0,2828)</v>
      </c>
      <c r="F12" s="1" t="str">
        <f>VLOOKUP('DELPHI CALCULATION'!F4,REF!$C$9:$D$33,2,FALSE)</f>
        <v>(0,1897; 0,2846; 0,3795)</v>
      </c>
      <c r="G12" s="1" t="str">
        <f>VLOOKUP('DELPHI CALCULATION'!G4,REF!$C$9:$D$33,2,FALSE)</f>
        <v>(0,2846; 0,3795; 0,3795)</v>
      </c>
      <c r="H12" s="1" t="str">
        <f>VLOOKUP('DELPHI CALCULATION'!H4,REF!$C$9:$D$33,2,FALSE)</f>
        <v>(0,0548; 0,1095; 0,1643)</v>
      </c>
      <c r="I12" s="1" t="str">
        <f>VLOOKUP('DELPHI CALCULATION'!I4,REF!$C$9:$D$33,2,FALSE)</f>
        <v>(0,1673; 0,251; 0,3347)</v>
      </c>
      <c r="J12" s="1" t="str">
        <f>VLOOKUP('DELPHI CALCULATION'!J4,REF!$C$9:$D$33,2,FALSE)</f>
        <v>(0,251; 0,3347; 0,3347)</v>
      </c>
      <c r="K12" s="1" t="str">
        <f>VLOOKUP('DELPHI CALCULATION'!K4,REF!$C$9:$D$33,2,FALSE)</f>
        <v>(0,251; 0,3347; 0,3347)</v>
      </c>
      <c r="L12" s="1" t="str">
        <f>VLOOKUP('DELPHI CALCULATION'!L4,REF!$C$9:$D$33,2,FALSE)</f>
        <v>(0,1897; 0,2846; 0,3795)</v>
      </c>
      <c r="M12" s="1" t="str">
        <f>VLOOKUP('DELPHI CALCULATION'!M4,REF!$C$9:$D$33,2,FALSE)</f>
        <v>(0,251; 0,3347; 0,3347)</v>
      </c>
      <c r="N12" s="1" t="str">
        <f>VLOOKUP('DELPHI CALCULATION'!N4,REF!$C$9:$D$33,2,FALSE)</f>
        <v>(0,1897; 0,2846; 0,3795)</v>
      </c>
      <c r="O12" s="1" t="str">
        <f>VLOOKUP('DELPHI CALCULATION'!O4,REF!$C$9:$D$33,2,FALSE)</f>
        <v>(0,0548; 0,1095; 0,1643)</v>
      </c>
      <c r="P12" s="1" t="str">
        <f>VLOOKUP('DELPHI CALCULATION'!P4,REF!$C$9:$D$33,2,FALSE)</f>
        <v>(0,1897; 0,2846; 0,3795)</v>
      </c>
      <c r="Q12" s="1" t="str">
        <f>VLOOKUP('DELPHI CALCULATION'!Q4,REF!$C$9:$D$33,2,FALSE)</f>
        <v>(0,1897; 0,2846; 0,3795)</v>
      </c>
      <c r="R12" s="1" t="str">
        <f>VLOOKUP('DELPHI CALCULATION'!R4,REF!$C$9:$D$33,2,FALSE)</f>
        <v>(0,1673; 0,251; 0,3347)</v>
      </c>
      <c r="S12" s="1" t="str">
        <f>VLOOKUP('DELPHI CALCULATION'!S4,REF!$C$9:$D$33,2,FALSE)</f>
        <v>(0,0837; 0,1673; 0,251)</v>
      </c>
      <c r="T12" s="1" t="str">
        <f>VLOOKUP('DELPHI CALCULATION'!T4,REF!$C$9:$D$33,2,FALSE)</f>
        <v>(0,2121; 0,2828; 0,2828)</v>
      </c>
      <c r="U12" s="1" t="str">
        <f>VLOOKUP('DELPHI CALCULATION'!U4,REF!$C$9:$D$33,2,FALSE)</f>
        <v>(0,0949; 0,1897; 0,2846)</v>
      </c>
      <c r="V12" s="1">
        <f t="shared" ref="V12:V15" si="0">MIN(B20:U20)</f>
        <v>5.4800000000000001E-2</v>
      </c>
      <c r="W12" s="1">
        <f t="shared" ref="W12:W15" si="1">ROUND(PRODUCT(B27:U27)^(1/20),4)</f>
        <v>0.25369999999999998</v>
      </c>
      <c r="X12" s="1">
        <f t="shared" ref="X12:X15" si="2">MAX(B34:U34)</f>
        <v>0.3795</v>
      </c>
      <c r="Y12" s="9" t="str">
        <f t="shared" ref="Y12:Y15" si="3">_xlfn.CONCAT("(", V12, "; ", W12, "; ", X12, ")")</f>
        <v>(0,0548; 0,2537; 0,3795)</v>
      </c>
      <c r="Z12" s="9">
        <f t="shared" ref="Z12:Z15" si="4">X12-0.5*(X12-W12)</f>
        <v>0.31659999999999999</v>
      </c>
      <c r="AA12" s="9">
        <f t="shared" ref="AA12:AA15" si="5">V12-0.5*(W12-V12)</f>
        <v>-4.4649999999999981E-2</v>
      </c>
      <c r="AB12" s="1">
        <f t="shared" ref="AB12:AB15" si="6">ROUND(0.5*(Z12+(1-0.5)*AA12),4)</f>
        <v>0.14710000000000001</v>
      </c>
      <c r="AC12" s="10" t="str">
        <f t="shared" ref="AC12:AC15" si="7">IF(AB12&gt;=AB17,"Accepted","Rejected")</f>
        <v>Accepted</v>
      </c>
    </row>
    <row r="13" spans="1:29" x14ac:dyDescent="0.25">
      <c r="A13" s="2" t="s">
        <v>7</v>
      </c>
      <c r="B13" s="1" t="str">
        <f>VLOOKUP('DELPHI CALCULATION'!B5,REF!$C$9:$D$33,2,FALSE)</f>
        <v>(0,1897; 0,2846; 0,3795)</v>
      </c>
      <c r="C13" s="1" t="str">
        <f>VLOOKUP('DELPHI CALCULATION'!C5,REF!$C$9:$D$33,2,FALSE)</f>
        <v>(0,0949; 0,1897; 0,2846)</v>
      </c>
      <c r="D13" s="1" t="str">
        <f>VLOOKUP('DELPHI CALCULATION'!D5,REF!$C$9:$D$33,2,FALSE)</f>
        <v>(0,2846; 0,3795; 0,3795)</v>
      </c>
      <c r="E13" s="1" t="str">
        <f>VLOOKUP('DELPHI CALCULATION'!E5,REF!$C$9:$D$33,2,FALSE)</f>
        <v>(0,251; 0,3347; 0,3347)</v>
      </c>
      <c r="F13" s="1" t="str">
        <f>VLOOKUP('DELPHI CALCULATION'!F5,REF!$C$9:$D$33,2,FALSE)</f>
        <v>(0,0837; 0,1673; 0,251)</v>
      </c>
      <c r="G13" s="1" t="str">
        <f>VLOOKUP('DELPHI CALCULATION'!G5,REF!$C$9:$D$33,2,FALSE)</f>
        <v>(0,2846; 0,3795; 0,3795)</v>
      </c>
      <c r="H13" s="1" t="str">
        <f>VLOOKUP('DELPHI CALCULATION'!H5,REF!$C$9:$D$33,2,FALSE)</f>
        <v>(0,1673; 0,251; 0,3347)</v>
      </c>
      <c r="I13" s="1" t="str">
        <f>VLOOKUP('DELPHI CALCULATION'!I5,REF!$C$9:$D$33,2,FALSE)</f>
        <v>(0,0548; 0,1095; 0,1643)</v>
      </c>
      <c r="J13" s="1" t="str">
        <f>VLOOKUP('DELPHI CALCULATION'!J5,REF!$C$9:$D$33,2,FALSE)</f>
        <v>(0,0949; 0,1897; 0,2846)</v>
      </c>
      <c r="K13" s="1" t="str">
        <f>VLOOKUP('DELPHI CALCULATION'!K5,REF!$C$9:$D$33,2,FALSE)</f>
        <v>(0,2846; 0,3795; 0,3795)</v>
      </c>
      <c r="L13" s="1" t="str">
        <f>VLOOKUP('DELPHI CALCULATION'!L5,REF!$C$9:$D$33,2,FALSE)</f>
        <v>(0,2846; 0,3795; 0,3795)</v>
      </c>
      <c r="M13" s="1" t="str">
        <f>VLOOKUP('DELPHI CALCULATION'!M5,REF!$C$9:$D$33,2,FALSE)</f>
        <v>(0,0949; 0,1897; 0,2846)</v>
      </c>
      <c r="N13" s="1" t="str">
        <f>VLOOKUP('DELPHI CALCULATION'!N5,REF!$C$9:$D$33,2,FALSE)</f>
        <v>(0,1414; 0,2121; 0,2828)</v>
      </c>
      <c r="O13" s="1" t="str">
        <f>VLOOKUP('DELPHI CALCULATION'!O5,REF!$C$9:$D$33,2,FALSE)</f>
        <v>(0,1673; 0,251; 0,3347)</v>
      </c>
      <c r="P13" s="1" t="str">
        <f>VLOOKUP('DELPHI CALCULATION'!P5,REF!$C$9:$D$33,2,FALSE)</f>
        <v>(0,1673; 0,251; 0,3347)</v>
      </c>
      <c r="Q13" s="1" t="str">
        <f>VLOOKUP('DELPHI CALCULATION'!Q5,REF!$C$9:$D$33,2,FALSE)</f>
        <v>(0,0837; 0,1673; 0,251)</v>
      </c>
      <c r="R13" s="1" t="str">
        <f>VLOOKUP('DELPHI CALCULATION'!R5,REF!$C$9:$D$33,2,FALSE)</f>
        <v>(0; 0,0949; 0,1897)</v>
      </c>
      <c r="S13" s="1" t="str">
        <f>VLOOKUP('DELPHI CALCULATION'!S5,REF!$C$9:$D$33,2,FALSE)</f>
        <v>(0,2846; 0,3795; 0,3795)</v>
      </c>
      <c r="T13" s="1" t="str">
        <f>VLOOKUP('DELPHI CALCULATION'!T5,REF!$C$9:$D$33,2,FALSE)</f>
        <v>(0,1414; 0,2121; 0,2828)</v>
      </c>
      <c r="U13" s="1" t="str">
        <f>VLOOKUP('DELPHI CALCULATION'!U5,REF!$C$9:$D$33,2,FALSE)</f>
        <v>(0,0837; 0,1673; 0,251)</v>
      </c>
      <c r="V13" s="1">
        <f t="shared" si="0"/>
        <v>0</v>
      </c>
      <c r="W13" s="1">
        <f t="shared" si="1"/>
        <v>0.23039999999999999</v>
      </c>
      <c r="X13" s="1">
        <f t="shared" si="2"/>
        <v>0.3795</v>
      </c>
      <c r="Y13" s="9" t="str">
        <f t="shared" si="3"/>
        <v>(0; 0,2304; 0,3795)</v>
      </c>
      <c r="Z13" s="9">
        <f t="shared" si="4"/>
        <v>0.30495</v>
      </c>
      <c r="AA13" s="9">
        <f t="shared" si="5"/>
        <v>-0.1152</v>
      </c>
      <c r="AB13" s="1">
        <f t="shared" si="6"/>
        <v>0.1237</v>
      </c>
      <c r="AC13" s="10" t="str">
        <f t="shared" si="7"/>
        <v>Accepted</v>
      </c>
    </row>
    <row r="14" spans="1:29" x14ac:dyDescent="0.25">
      <c r="A14" s="2" t="s">
        <v>9</v>
      </c>
      <c r="B14" s="1" t="str">
        <f>VLOOKUP('DELPHI CALCULATION'!B6,REF!$C$9:$D$33,2,FALSE)</f>
        <v>(0,1897; 0,2846; 0,3795)</v>
      </c>
      <c r="C14" s="1" t="str">
        <f>VLOOKUP('DELPHI CALCULATION'!C6,REF!$C$9:$D$33,2,FALSE)</f>
        <v>(0,1414; 0,2121; 0,2828)</v>
      </c>
      <c r="D14" s="1" t="str">
        <f>VLOOKUP('DELPHI CALCULATION'!D6,REF!$C$9:$D$33,2,FALSE)</f>
        <v>(0,0949; 0,1897; 0,2846)</v>
      </c>
      <c r="E14" s="1" t="str">
        <f>VLOOKUP('DELPHI CALCULATION'!E6,REF!$C$9:$D$33,2,FALSE)</f>
        <v>(0,1897; 0,2846; 0,3795)</v>
      </c>
      <c r="F14" s="1" t="str">
        <f>VLOOKUP('DELPHI CALCULATION'!F6,REF!$C$9:$D$33,2,FALSE)</f>
        <v>(0,2846; 0,3795; 0,3795)</v>
      </c>
      <c r="G14" s="1" t="str">
        <f>VLOOKUP('DELPHI CALCULATION'!G6,REF!$C$9:$D$33,2,FALSE)</f>
        <v>(0,0707; 0,1414; 0,2121)</v>
      </c>
      <c r="H14" s="1" t="str">
        <f>VLOOKUP('DELPHI CALCULATION'!H6,REF!$C$9:$D$33,2,FALSE)</f>
        <v>(0,2846; 0,3795; 0,3795)</v>
      </c>
      <c r="I14" s="1" t="str">
        <f>VLOOKUP('DELPHI CALCULATION'!I6,REF!$C$9:$D$33,2,FALSE)</f>
        <v>(0,1897; 0,2846; 0,3795)</v>
      </c>
      <c r="J14" s="1" t="str">
        <f>VLOOKUP('DELPHI CALCULATION'!J6,REF!$C$9:$D$33,2,FALSE)</f>
        <v>(0,1414; 0,2121; 0,2828)</v>
      </c>
      <c r="K14" s="1" t="str">
        <f>VLOOKUP('DELPHI CALCULATION'!K6,REF!$C$9:$D$33,2,FALSE)</f>
        <v>(0,1897; 0,2846; 0,3795)</v>
      </c>
      <c r="L14" s="1" t="str">
        <f>VLOOKUP('DELPHI CALCULATION'!L6,REF!$C$9:$D$33,2,FALSE)</f>
        <v>(0,1673; 0,251; 0,3347)</v>
      </c>
      <c r="M14" s="1" t="str">
        <f>VLOOKUP('DELPHI CALCULATION'!M6,REF!$C$9:$D$33,2,FALSE)</f>
        <v>(0,0837; 0,1673; 0,251)</v>
      </c>
      <c r="N14" s="1" t="str">
        <f>VLOOKUP('DELPHI CALCULATION'!N6,REF!$C$9:$D$33,2,FALSE)</f>
        <v>(0,1897; 0,2846; 0,3795)</v>
      </c>
      <c r="O14" s="1" t="str">
        <f>VLOOKUP('DELPHI CALCULATION'!O6,REF!$C$9:$D$33,2,FALSE)</f>
        <v>(0,1897; 0,2846; 0,3795)</v>
      </c>
      <c r="P14" s="1" t="str">
        <f>VLOOKUP('DELPHI CALCULATION'!P6,REF!$C$9:$D$33,2,FALSE)</f>
        <v>(0,0707; 0,1414; 0,2121)</v>
      </c>
      <c r="Q14" s="1" t="str">
        <f>VLOOKUP('DELPHI CALCULATION'!Q6,REF!$C$9:$D$33,2,FALSE)</f>
        <v>(0,2121; 0,2828; 0,2828)</v>
      </c>
      <c r="R14" s="1" t="str">
        <f>VLOOKUP('DELPHI CALCULATION'!R6,REF!$C$9:$D$33,2,FALSE)</f>
        <v>(0,1897; 0,2846; 0,3795)</v>
      </c>
      <c r="S14" s="1" t="str">
        <f>VLOOKUP('DELPHI CALCULATION'!S6,REF!$C$9:$D$33,2,FALSE)</f>
        <v>(0,1897; 0,2846; 0,3795)</v>
      </c>
      <c r="T14" s="1" t="str">
        <f>VLOOKUP('DELPHI CALCULATION'!T6,REF!$C$9:$D$33,2,FALSE)</f>
        <v>(0,1897; 0,2846; 0,3795)</v>
      </c>
      <c r="U14" s="1" t="str">
        <f>VLOOKUP('DELPHI CALCULATION'!U6,REF!$C$9:$D$33,2,FALSE)</f>
        <v>(0,1897; 0,2846; 0,3795)</v>
      </c>
      <c r="V14" s="1">
        <f t="shared" si="0"/>
        <v>7.0699999999999999E-2</v>
      </c>
      <c r="W14" s="1">
        <f t="shared" si="1"/>
        <v>0.25140000000000001</v>
      </c>
      <c r="X14" s="1">
        <f t="shared" si="2"/>
        <v>0.3795</v>
      </c>
      <c r="Y14" s="9" t="str">
        <f t="shared" si="3"/>
        <v>(0,0707; 0,2514; 0,3795)</v>
      </c>
      <c r="Z14" s="9">
        <f t="shared" si="4"/>
        <v>0.31545000000000001</v>
      </c>
      <c r="AA14" s="9">
        <f t="shared" si="5"/>
        <v>-1.9650000000000015E-2</v>
      </c>
      <c r="AB14" s="1">
        <f t="shared" si="6"/>
        <v>0.15279999999999999</v>
      </c>
      <c r="AC14" s="10" t="str">
        <f t="shared" si="7"/>
        <v>Accepted</v>
      </c>
    </row>
    <row r="15" spans="1:29" x14ac:dyDescent="0.25">
      <c r="A15" s="2" t="s">
        <v>11</v>
      </c>
      <c r="B15" s="1" t="str">
        <f>VLOOKUP('DELPHI CALCULATION'!B7,REF!$C$9:$D$33,2,FALSE)</f>
        <v>(0,1897; 0,2846; 0,3795)</v>
      </c>
      <c r="C15" s="1" t="str">
        <f>VLOOKUP('DELPHI CALCULATION'!C7,REF!$C$9:$D$33,2,FALSE)</f>
        <v>(0,1897; 0,2846; 0,3795)</v>
      </c>
      <c r="D15" s="1" t="str">
        <f>VLOOKUP('DELPHI CALCULATION'!D7,REF!$C$9:$D$33,2,FALSE)</f>
        <v>(0,0837; 0,1673; 0,251)</v>
      </c>
      <c r="E15" s="1" t="str">
        <f>VLOOKUP('DELPHI CALCULATION'!E7,REF!$C$9:$D$33,2,FALSE)</f>
        <v>(0,251; 0,3347; 0,3347)</v>
      </c>
      <c r="F15" s="1" t="str">
        <f>VLOOKUP('DELPHI CALCULATION'!F7,REF!$C$9:$D$33,2,FALSE)</f>
        <v>(0,1897; 0,2846; 0,3795)</v>
      </c>
      <c r="G15" s="1" t="str">
        <f>VLOOKUP('DELPHI CALCULATION'!G7,REF!$C$9:$D$33,2,FALSE)</f>
        <v>(0,1673; 0,251; 0,3347)</v>
      </c>
      <c r="H15" s="1" t="str">
        <f>VLOOKUP('DELPHI CALCULATION'!H7,REF!$C$9:$D$33,2,FALSE)</f>
        <v>(0,2846; 0,3795; 0,3795)</v>
      </c>
      <c r="I15" s="1" t="str">
        <f>VLOOKUP('DELPHI CALCULATION'!I7,REF!$C$9:$D$33,2,FALSE)</f>
        <v>(0,251; 0,3347; 0,3347)</v>
      </c>
      <c r="J15" s="1" t="str">
        <f>VLOOKUP('DELPHI CALCULATION'!J7,REF!$C$9:$D$33,2,FALSE)</f>
        <v>(0,1897; 0,2846; 0,3795)</v>
      </c>
      <c r="K15" s="1" t="str">
        <f>VLOOKUP('DELPHI CALCULATION'!K7,REF!$C$9:$D$33,2,FALSE)</f>
        <v>(0,1673; 0,251; 0,3347)</v>
      </c>
      <c r="L15" s="1" t="str">
        <f>VLOOKUP('DELPHI CALCULATION'!L7,REF!$C$9:$D$33,2,FALSE)</f>
        <v>(0,1414; 0,2121; 0,2828)</v>
      </c>
      <c r="M15" s="1" t="str">
        <f>VLOOKUP('DELPHI CALCULATION'!M7,REF!$C$9:$D$33,2,FALSE)</f>
        <v>(0,0949; 0,1897; 0,2846)</v>
      </c>
      <c r="N15" s="1" t="str">
        <f>VLOOKUP('DELPHI CALCULATION'!N7,REF!$C$9:$D$33,2,FALSE)</f>
        <v>(0,251; 0,3347; 0,3347)</v>
      </c>
      <c r="O15" s="1" t="str">
        <f>VLOOKUP('DELPHI CALCULATION'!O7,REF!$C$9:$D$33,2,FALSE)</f>
        <v>(0,1897; 0,2846; 0,3795)</v>
      </c>
      <c r="P15" s="1" t="str">
        <f>VLOOKUP('DELPHI CALCULATION'!P7,REF!$C$9:$D$33,2,FALSE)</f>
        <v>(0,1673; 0,251; 0,3347)</v>
      </c>
      <c r="Q15" s="1" t="str">
        <f>VLOOKUP('DELPHI CALCULATION'!Q7,REF!$C$9:$D$33,2,FALSE)</f>
        <v>(0,1897; 0,2846; 0,3795)</v>
      </c>
      <c r="R15" s="1" t="str">
        <f>VLOOKUP('DELPHI CALCULATION'!R7,REF!$C$9:$D$33,2,FALSE)</f>
        <v>(0,0837; 0,1673; 0,251)</v>
      </c>
      <c r="S15" s="1" t="str">
        <f>VLOOKUP('DELPHI CALCULATION'!S7,REF!$C$9:$D$33,2,FALSE)</f>
        <v>(0,0837; 0,1673; 0,251)</v>
      </c>
      <c r="T15" s="1" t="str">
        <f>VLOOKUP('DELPHI CALCULATION'!T7,REF!$C$9:$D$33,2,FALSE)</f>
        <v>(0,1897; 0,2846; 0,3795)</v>
      </c>
      <c r="U15" s="1" t="str">
        <f>VLOOKUP('DELPHI CALCULATION'!U7,REF!$C$9:$D$33,2,FALSE)</f>
        <v>(0,251; 0,3347; 0,3347)</v>
      </c>
      <c r="V15" s="1">
        <f t="shared" si="0"/>
        <v>8.3699999999999997E-2</v>
      </c>
      <c r="W15" s="1">
        <f t="shared" si="1"/>
        <v>0.26100000000000001</v>
      </c>
      <c r="X15" s="1">
        <f t="shared" si="2"/>
        <v>0.3795</v>
      </c>
      <c r="Y15" s="9" t="str">
        <f t="shared" si="3"/>
        <v>(0,0837; 0,261; 0,3795)</v>
      </c>
      <c r="Z15" s="9">
        <f t="shared" si="4"/>
        <v>0.32025000000000003</v>
      </c>
      <c r="AA15" s="9">
        <f t="shared" si="5"/>
        <v>-4.9500000000000099E-3</v>
      </c>
      <c r="AB15" s="1">
        <f t="shared" si="6"/>
        <v>0.15890000000000001</v>
      </c>
      <c r="AC15" s="10" t="str">
        <f t="shared" si="7"/>
        <v>Accepted</v>
      </c>
    </row>
    <row r="16" spans="1:29" x14ac:dyDescent="0.25">
      <c r="AA16" s="9" t="s">
        <v>85</v>
      </c>
      <c r="AB16" s="10">
        <f>ROUND(REF!AB41,4)</f>
        <v>0.1285</v>
      </c>
    </row>
    <row r="18" spans="1:21" x14ac:dyDescent="0.25">
      <c r="A18" s="3" t="s">
        <v>28</v>
      </c>
      <c r="B18" s="3">
        <v>1</v>
      </c>
      <c r="C18" s="3">
        <v>2</v>
      </c>
      <c r="D18" s="3">
        <v>3</v>
      </c>
      <c r="E18" s="3">
        <v>4</v>
      </c>
      <c r="F18" s="3">
        <v>5</v>
      </c>
      <c r="G18" s="3">
        <v>6</v>
      </c>
      <c r="H18" s="3">
        <v>7</v>
      </c>
      <c r="I18" s="3">
        <v>8</v>
      </c>
      <c r="J18" s="3">
        <v>9</v>
      </c>
      <c r="K18" s="3">
        <v>10</v>
      </c>
      <c r="L18" s="3">
        <v>11</v>
      </c>
      <c r="M18" s="3">
        <v>12</v>
      </c>
      <c r="N18" s="3">
        <v>13</v>
      </c>
      <c r="O18" s="3">
        <v>14</v>
      </c>
      <c r="P18" s="3">
        <v>15</v>
      </c>
      <c r="Q18" s="3">
        <v>16</v>
      </c>
      <c r="R18" s="3">
        <v>17</v>
      </c>
      <c r="S18" s="3">
        <v>18</v>
      </c>
      <c r="T18" s="3">
        <v>19</v>
      </c>
      <c r="U18" s="3">
        <v>20</v>
      </c>
    </row>
    <row r="19" spans="1:21" x14ac:dyDescent="0.25">
      <c r="A19" s="2" t="s">
        <v>3</v>
      </c>
      <c r="B19" s="1">
        <f>_xlfn.NUMBERVALUE(MID(B11,2,FIND(";",B11,1)-2))</f>
        <v>0.18970000000000001</v>
      </c>
      <c r="C19" s="1">
        <f t="shared" ref="C19:U23" si="8">_xlfn.NUMBERVALUE(MID(C11,2,FIND(";",C11,1)-2))</f>
        <v>0.28460000000000002</v>
      </c>
      <c r="D19" s="1">
        <f t="shared" si="8"/>
        <v>0.1673</v>
      </c>
      <c r="E19" s="1">
        <f t="shared" si="8"/>
        <v>8.3699999999999997E-2</v>
      </c>
      <c r="F19" s="1">
        <f t="shared" si="8"/>
        <v>8.3699999999999997E-2</v>
      </c>
      <c r="G19" s="1">
        <f t="shared" si="8"/>
        <v>0.28460000000000002</v>
      </c>
      <c r="H19" s="1">
        <f t="shared" si="8"/>
        <v>0.1673</v>
      </c>
      <c r="I19" s="1">
        <f t="shared" si="8"/>
        <v>0.18970000000000001</v>
      </c>
      <c r="J19" s="1">
        <f t="shared" si="8"/>
        <v>8.3699999999999997E-2</v>
      </c>
      <c r="K19" s="1">
        <f t="shared" si="8"/>
        <v>0.251</v>
      </c>
      <c r="L19" s="1">
        <f t="shared" si="8"/>
        <v>0.251</v>
      </c>
      <c r="M19" s="1">
        <f t="shared" si="8"/>
        <v>0.18970000000000001</v>
      </c>
      <c r="N19" s="1">
        <f t="shared" si="8"/>
        <v>0.28460000000000002</v>
      </c>
      <c r="O19" s="1">
        <f t="shared" si="8"/>
        <v>7.0699999999999999E-2</v>
      </c>
      <c r="P19" s="1">
        <f t="shared" si="8"/>
        <v>8.3699999999999997E-2</v>
      </c>
      <c r="Q19" s="1">
        <f t="shared" si="8"/>
        <v>0.18970000000000001</v>
      </c>
      <c r="R19" s="1">
        <f t="shared" si="8"/>
        <v>0.251</v>
      </c>
      <c r="S19" s="1">
        <f t="shared" si="8"/>
        <v>0.28460000000000002</v>
      </c>
      <c r="T19" s="1">
        <f t="shared" si="8"/>
        <v>0.1414</v>
      </c>
      <c r="U19" s="1">
        <f t="shared" si="8"/>
        <v>0.1673</v>
      </c>
    </row>
    <row r="20" spans="1:21" x14ac:dyDescent="0.25">
      <c r="A20" s="2" t="s">
        <v>5</v>
      </c>
      <c r="B20" s="1">
        <f t="shared" ref="B20:Q23" si="9">_xlfn.NUMBERVALUE(MID(B12,2,FIND(";",B12,1)-2))</f>
        <v>0.18970000000000001</v>
      </c>
      <c r="C20" s="1">
        <f t="shared" si="9"/>
        <v>0.251</v>
      </c>
      <c r="D20" s="1">
        <f t="shared" si="9"/>
        <v>0.251</v>
      </c>
      <c r="E20" s="1">
        <f t="shared" si="9"/>
        <v>0.1414</v>
      </c>
      <c r="F20" s="1">
        <f t="shared" si="9"/>
        <v>0.18970000000000001</v>
      </c>
      <c r="G20" s="1">
        <f t="shared" si="9"/>
        <v>0.28460000000000002</v>
      </c>
      <c r="H20" s="1">
        <f t="shared" si="9"/>
        <v>5.4800000000000001E-2</v>
      </c>
      <c r="I20" s="1">
        <f t="shared" si="9"/>
        <v>0.1673</v>
      </c>
      <c r="J20" s="1">
        <f t="shared" si="9"/>
        <v>0.251</v>
      </c>
      <c r="K20" s="1">
        <f t="shared" si="9"/>
        <v>0.251</v>
      </c>
      <c r="L20" s="1">
        <f t="shared" si="9"/>
        <v>0.18970000000000001</v>
      </c>
      <c r="M20" s="1">
        <f t="shared" si="9"/>
        <v>0.251</v>
      </c>
      <c r="N20" s="1">
        <f t="shared" si="9"/>
        <v>0.18970000000000001</v>
      </c>
      <c r="O20" s="1">
        <f t="shared" si="9"/>
        <v>5.4800000000000001E-2</v>
      </c>
      <c r="P20" s="1">
        <f t="shared" si="9"/>
        <v>0.18970000000000001</v>
      </c>
      <c r="Q20" s="1">
        <f t="shared" si="9"/>
        <v>0.18970000000000001</v>
      </c>
      <c r="R20" s="1">
        <f t="shared" si="8"/>
        <v>0.1673</v>
      </c>
      <c r="S20" s="1">
        <f t="shared" si="8"/>
        <v>8.3699999999999997E-2</v>
      </c>
      <c r="T20" s="1">
        <f t="shared" si="8"/>
        <v>0.21210000000000001</v>
      </c>
      <c r="U20" s="1">
        <f t="shared" si="8"/>
        <v>9.4899999999999998E-2</v>
      </c>
    </row>
    <row r="21" spans="1:21" x14ac:dyDescent="0.25">
      <c r="A21" s="2" t="s">
        <v>7</v>
      </c>
      <c r="B21" s="1">
        <f t="shared" si="9"/>
        <v>0.18970000000000001</v>
      </c>
      <c r="C21" s="1">
        <f t="shared" si="8"/>
        <v>9.4899999999999998E-2</v>
      </c>
      <c r="D21" s="1">
        <f t="shared" si="8"/>
        <v>0.28460000000000002</v>
      </c>
      <c r="E21" s="1">
        <f t="shared" si="8"/>
        <v>0.251</v>
      </c>
      <c r="F21" s="1">
        <f t="shared" si="8"/>
        <v>8.3699999999999997E-2</v>
      </c>
      <c r="G21" s="1">
        <f t="shared" si="8"/>
        <v>0.28460000000000002</v>
      </c>
      <c r="H21" s="1">
        <f t="shared" si="8"/>
        <v>0.1673</v>
      </c>
      <c r="I21" s="1">
        <f t="shared" si="8"/>
        <v>5.4800000000000001E-2</v>
      </c>
      <c r="J21" s="1">
        <f t="shared" si="8"/>
        <v>9.4899999999999998E-2</v>
      </c>
      <c r="K21" s="1">
        <f t="shared" si="8"/>
        <v>0.28460000000000002</v>
      </c>
      <c r="L21" s="1">
        <f t="shared" si="8"/>
        <v>0.28460000000000002</v>
      </c>
      <c r="M21" s="1">
        <f t="shared" si="8"/>
        <v>9.4899999999999998E-2</v>
      </c>
      <c r="N21" s="1">
        <f t="shared" si="8"/>
        <v>0.1414</v>
      </c>
      <c r="O21" s="1">
        <f t="shared" si="8"/>
        <v>0.1673</v>
      </c>
      <c r="P21" s="1">
        <f t="shared" si="8"/>
        <v>0.1673</v>
      </c>
      <c r="Q21" s="1">
        <f t="shared" si="8"/>
        <v>8.3699999999999997E-2</v>
      </c>
      <c r="R21" s="1">
        <f t="shared" si="8"/>
        <v>0</v>
      </c>
      <c r="S21" s="1">
        <f t="shared" si="8"/>
        <v>0.28460000000000002</v>
      </c>
      <c r="T21" s="1">
        <f t="shared" si="8"/>
        <v>0.1414</v>
      </c>
      <c r="U21" s="1">
        <f t="shared" si="8"/>
        <v>8.3699999999999997E-2</v>
      </c>
    </row>
    <row r="22" spans="1:21" x14ac:dyDescent="0.25">
      <c r="A22" s="2" t="s">
        <v>9</v>
      </c>
      <c r="B22" s="1">
        <f t="shared" si="9"/>
        <v>0.18970000000000001</v>
      </c>
      <c r="C22" s="1">
        <f t="shared" si="8"/>
        <v>0.1414</v>
      </c>
      <c r="D22" s="1">
        <f t="shared" si="8"/>
        <v>9.4899999999999998E-2</v>
      </c>
      <c r="E22" s="1">
        <f t="shared" si="8"/>
        <v>0.18970000000000001</v>
      </c>
      <c r="F22" s="1">
        <f t="shared" si="8"/>
        <v>0.28460000000000002</v>
      </c>
      <c r="G22" s="1">
        <f t="shared" si="8"/>
        <v>7.0699999999999999E-2</v>
      </c>
      <c r="H22" s="1">
        <f t="shared" si="8"/>
        <v>0.28460000000000002</v>
      </c>
      <c r="I22" s="1">
        <f t="shared" si="8"/>
        <v>0.18970000000000001</v>
      </c>
      <c r="J22" s="1">
        <f t="shared" si="8"/>
        <v>0.1414</v>
      </c>
      <c r="K22" s="1">
        <f t="shared" si="8"/>
        <v>0.18970000000000001</v>
      </c>
      <c r="L22" s="1">
        <f t="shared" si="8"/>
        <v>0.1673</v>
      </c>
      <c r="M22" s="1">
        <f t="shared" si="8"/>
        <v>8.3699999999999997E-2</v>
      </c>
      <c r="N22" s="1">
        <f t="shared" si="8"/>
        <v>0.18970000000000001</v>
      </c>
      <c r="O22" s="1">
        <f t="shared" si="8"/>
        <v>0.18970000000000001</v>
      </c>
      <c r="P22" s="1">
        <f t="shared" si="8"/>
        <v>7.0699999999999999E-2</v>
      </c>
      <c r="Q22" s="1">
        <f t="shared" si="8"/>
        <v>0.21210000000000001</v>
      </c>
      <c r="R22" s="1">
        <f t="shared" si="8"/>
        <v>0.18970000000000001</v>
      </c>
      <c r="S22" s="1">
        <f t="shared" si="8"/>
        <v>0.18970000000000001</v>
      </c>
      <c r="T22" s="1">
        <f t="shared" si="8"/>
        <v>0.18970000000000001</v>
      </c>
      <c r="U22" s="1">
        <f t="shared" si="8"/>
        <v>0.18970000000000001</v>
      </c>
    </row>
    <row r="23" spans="1:21" x14ac:dyDescent="0.25">
      <c r="A23" s="2" t="s">
        <v>11</v>
      </c>
      <c r="B23" s="1">
        <f t="shared" si="9"/>
        <v>0.18970000000000001</v>
      </c>
      <c r="C23" s="1">
        <f t="shared" si="8"/>
        <v>0.18970000000000001</v>
      </c>
      <c r="D23" s="1">
        <f t="shared" si="8"/>
        <v>8.3699999999999997E-2</v>
      </c>
      <c r="E23" s="1">
        <f t="shared" si="8"/>
        <v>0.251</v>
      </c>
      <c r="F23" s="1">
        <f t="shared" si="8"/>
        <v>0.18970000000000001</v>
      </c>
      <c r="G23" s="1">
        <f t="shared" si="8"/>
        <v>0.1673</v>
      </c>
      <c r="H23" s="1">
        <f t="shared" si="8"/>
        <v>0.28460000000000002</v>
      </c>
      <c r="I23" s="1">
        <f t="shared" si="8"/>
        <v>0.251</v>
      </c>
      <c r="J23" s="1">
        <f t="shared" si="8"/>
        <v>0.18970000000000001</v>
      </c>
      <c r="K23" s="1">
        <f t="shared" si="8"/>
        <v>0.1673</v>
      </c>
      <c r="L23" s="1">
        <f t="shared" si="8"/>
        <v>0.1414</v>
      </c>
      <c r="M23" s="1">
        <f t="shared" si="8"/>
        <v>9.4899999999999998E-2</v>
      </c>
      <c r="N23" s="1">
        <f t="shared" si="8"/>
        <v>0.251</v>
      </c>
      <c r="O23" s="1">
        <f t="shared" si="8"/>
        <v>0.18970000000000001</v>
      </c>
      <c r="P23" s="1">
        <f t="shared" si="8"/>
        <v>0.1673</v>
      </c>
      <c r="Q23" s="1">
        <f t="shared" si="8"/>
        <v>0.18970000000000001</v>
      </c>
      <c r="R23" s="1">
        <f t="shared" si="8"/>
        <v>8.3699999999999997E-2</v>
      </c>
      <c r="S23" s="1">
        <f t="shared" si="8"/>
        <v>8.3699999999999997E-2</v>
      </c>
      <c r="T23" s="1">
        <f t="shared" si="8"/>
        <v>0.18970000000000001</v>
      </c>
      <c r="U23" s="1">
        <f t="shared" si="8"/>
        <v>0.251</v>
      </c>
    </row>
    <row r="25" spans="1:21" x14ac:dyDescent="0.25">
      <c r="A25" s="3" t="s">
        <v>31</v>
      </c>
      <c r="B25" s="3">
        <v>1</v>
      </c>
      <c r="C25" s="3">
        <v>2</v>
      </c>
      <c r="D25" s="3">
        <v>3</v>
      </c>
      <c r="E25" s="3">
        <v>4</v>
      </c>
      <c r="F25" s="3">
        <v>5</v>
      </c>
      <c r="G25" s="3">
        <v>6</v>
      </c>
      <c r="H25" s="3">
        <v>7</v>
      </c>
      <c r="I25" s="3">
        <v>8</v>
      </c>
      <c r="J25" s="3">
        <v>9</v>
      </c>
      <c r="K25" s="3">
        <v>10</v>
      </c>
      <c r="L25" s="3">
        <v>11</v>
      </c>
      <c r="M25" s="3">
        <v>12</v>
      </c>
      <c r="N25" s="3">
        <v>13</v>
      </c>
      <c r="O25" s="3">
        <v>14</v>
      </c>
      <c r="P25" s="3">
        <v>15</v>
      </c>
      <c r="Q25" s="3">
        <v>16</v>
      </c>
      <c r="R25" s="3">
        <v>17</v>
      </c>
      <c r="S25" s="3">
        <v>18</v>
      </c>
      <c r="T25" s="3">
        <v>19</v>
      </c>
      <c r="U25" s="3">
        <v>20</v>
      </c>
    </row>
    <row r="26" spans="1:21" x14ac:dyDescent="0.25">
      <c r="A26" s="2" t="s">
        <v>3</v>
      </c>
      <c r="B26" s="1">
        <f>_xlfn.NUMBERVALUE(MID(B11,FIND(";",B11,1)+1,FIND(";",B11,FIND(";",B11,1)+1)-FIND(";",B11,1)-1))</f>
        <v>0.28460000000000002</v>
      </c>
      <c r="C26" s="1">
        <f>_xlfn.NUMBERVALUE(MID(C11,FIND(";",C11,1)+1,FIND(";",C11,FIND(";",C11,1)+1)-FIND(";",C11,1)-1))</f>
        <v>0.3795</v>
      </c>
      <c r="D26" s="1">
        <f t="shared" ref="D26:U26" si="10">_xlfn.NUMBERVALUE(MID(D11,FIND(";",D11,1)+1,FIND(";",D11,FIND(";",D11,1)+1)-FIND(";",D11,1)-1))</f>
        <v>0.251</v>
      </c>
      <c r="E26" s="1">
        <f t="shared" si="10"/>
        <v>0.1673</v>
      </c>
      <c r="F26" s="1">
        <f t="shared" si="10"/>
        <v>0.1673</v>
      </c>
      <c r="G26" s="1">
        <f t="shared" si="10"/>
        <v>0.3795</v>
      </c>
      <c r="H26" s="1">
        <f t="shared" si="10"/>
        <v>0.251</v>
      </c>
      <c r="I26" s="1">
        <f t="shared" si="10"/>
        <v>0.28460000000000002</v>
      </c>
      <c r="J26" s="1">
        <f t="shared" si="10"/>
        <v>0.1673</v>
      </c>
      <c r="K26" s="1">
        <f t="shared" si="10"/>
        <v>0.3347</v>
      </c>
      <c r="L26" s="1">
        <f t="shared" si="10"/>
        <v>0.3347</v>
      </c>
      <c r="M26" s="1">
        <f t="shared" si="10"/>
        <v>0.28460000000000002</v>
      </c>
      <c r="N26" s="1">
        <f t="shared" si="10"/>
        <v>0.3795</v>
      </c>
      <c r="O26" s="1">
        <f t="shared" si="10"/>
        <v>0.1414</v>
      </c>
      <c r="P26" s="1">
        <f t="shared" si="10"/>
        <v>0.1673</v>
      </c>
      <c r="Q26" s="1">
        <f t="shared" si="10"/>
        <v>0.28460000000000002</v>
      </c>
      <c r="R26" s="1">
        <f t="shared" si="10"/>
        <v>0.3347</v>
      </c>
      <c r="S26" s="1">
        <f t="shared" si="10"/>
        <v>0.3795</v>
      </c>
      <c r="T26" s="1">
        <f t="shared" si="10"/>
        <v>0.21210000000000001</v>
      </c>
      <c r="U26" s="1">
        <f t="shared" si="10"/>
        <v>0.251</v>
      </c>
    </row>
    <row r="27" spans="1:21" x14ac:dyDescent="0.25">
      <c r="A27" s="2" t="s">
        <v>5</v>
      </c>
      <c r="B27" s="1">
        <f t="shared" ref="B27:C30" si="11">_xlfn.NUMBERVALUE(MID(B12,FIND(";",B12,1)+1,FIND(";",B12,FIND(";",B12,1)+1)-FIND(";",B12,1)-1))</f>
        <v>0.28460000000000002</v>
      </c>
      <c r="C27" s="1">
        <f t="shared" si="11"/>
        <v>0.3347</v>
      </c>
      <c r="D27" s="1">
        <f t="shared" ref="D27:U27" si="12">_xlfn.NUMBERVALUE(MID(D12,FIND(";",D12,1)+1,FIND(";",D12,FIND(";",D12,1)+1)-FIND(";",D12,1)-1))</f>
        <v>0.3347</v>
      </c>
      <c r="E27" s="1">
        <f t="shared" si="12"/>
        <v>0.21210000000000001</v>
      </c>
      <c r="F27" s="1">
        <f t="shared" si="12"/>
        <v>0.28460000000000002</v>
      </c>
      <c r="G27" s="1">
        <f t="shared" si="12"/>
        <v>0.3795</v>
      </c>
      <c r="H27" s="1">
        <f t="shared" si="12"/>
        <v>0.1095</v>
      </c>
      <c r="I27" s="1">
        <f t="shared" si="12"/>
        <v>0.251</v>
      </c>
      <c r="J27" s="1">
        <f t="shared" si="12"/>
        <v>0.3347</v>
      </c>
      <c r="K27" s="1">
        <f t="shared" si="12"/>
        <v>0.3347</v>
      </c>
      <c r="L27" s="1">
        <f t="shared" si="12"/>
        <v>0.28460000000000002</v>
      </c>
      <c r="M27" s="1">
        <f t="shared" si="12"/>
        <v>0.3347</v>
      </c>
      <c r="N27" s="1">
        <f t="shared" si="12"/>
        <v>0.28460000000000002</v>
      </c>
      <c r="O27" s="1">
        <f t="shared" si="12"/>
        <v>0.1095</v>
      </c>
      <c r="P27" s="1">
        <f t="shared" si="12"/>
        <v>0.28460000000000002</v>
      </c>
      <c r="Q27" s="1">
        <f t="shared" si="12"/>
        <v>0.28460000000000002</v>
      </c>
      <c r="R27" s="1">
        <f t="shared" si="12"/>
        <v>0.251</v>
      </c>
      <c r="S27" s="1">
        <f t="shared" si="12"/>
        <v>0.1673</v>
      </c>
      <c r="T27" s="1">
        <f t="shared" si="12"/>
        <v>0.2828</v>
      </c>
      <c r="U27" s="1">
        <f t="shared" si="12"/>
        <v>0.18970000000000001</v>
      </c>
    </row>
    <row r="28" spans="1:21" x14ac:dyDescent="0.25">
      <c r="A28" s="2" t="s">
        <v>7</v>
      </c>
      <c r="B28" s="1">
        <f t="shared" si="11"/>
        <v>0.28460000000000002</v>
      </c>
      <c r="C28" s="1">
        <f t="shared" si="11"/>
        <v>0.18970000000000001</v>
      </c>
      <c r="D28" s="1">
        <f t="shared" ref="D28:U28" si="13">_xlfn.NUMBERVALUE(MID(D13,FIND(";",D13,1)+1,FIND(";",D13,FIND(";",D13,1)+1)-FIND(";",D13,1)-1))</f>
        <v>0.3795</v>
      </c>
      <c r="E28" s="1">
        <f t="shared" si="13"/>
        <v>0.3347</v>
      </c>
      <c r="F28" s="1">
        <f t="shared" si="13"/>
        <v>0.1673</v>
      </c>
      <c r="G28" s="1">
        <f t="shared" si="13"/>
        <v>0.3795</v>
      </c>
      <c r="H28" s="1">
        <f t="shared" si="13"/>
        <v>0.251</v>
      </c>
      <c r="I28" s="1">
        <f t="shared" si="13"/>
        <v>0.1095</v>
      </c>
      <c r="J28" s="1">
        <f t="shared" si="13"/>
        <v>0.18970000000000001</v>
      </c>
      <c r="K28" s="1">
        <f t="shared" si="13"/>
        <v>0.3795</v>
      </c>
      <c r="L28" s="1">
        <f t="shared" si="13"/>
        <v>0.3795</v>
      </c>
      <c r="M28" s="1">
        <f t="shared" si="13"/>
        <v>0.18970000000000001</v>
      </c>
      <c r="N28" s="1">
        <f t="shared" si="13"/>
        <v>0.21210000000000001</v>
      </c>
      <c r="O28" s="1">
        <f t="shared" si="13"/>
        <v>0.251</v>
      </c>
      <c r="P28" s="1">
        <f t="shared" si="13"/>
        <v>0.251</v>
      </c>
      <c r="Q28" s="1">
        <f t="shared" si="13"/>
        <v>0.1673</v>
      </c>
      <c r="R28" s="1">
        <f t="shared" si="13"/>
        <v>9.4899999999999998E-2</v>
      </c>
      <c r="S28" s="1">
        <f t="shared" si="13"/>
        <v>0.3795</v>
      </c>
      <c r="T28" s="1">
        <f t="shared" si="13"/>
        <v>0.21210000000000001</v>
      </c>
      <c r="U28" s="1">
        <f t="shared" si="13"/>
        <v>0.1673</v>
      </c>
    </row>
    <row r="29" spans="1:21" x14ac:dyDescent="0.25">
      <c r="A29" s="2" t="s">
        <v>9</v>
      </c>
      <c r="B29" s="1">
        <f t="shared" si="11"/>
        <v>0.28460000000000002</v>
      </c>
      <c r="C29" s="1">
        <f t="shared" si="11"/>
        <v>0.21210000000000001</v>
      </c>
      <c r="D29" s="1">
        <f t="shared" ref="D29:U29" si="14">_xlfn.NUMBERVALUE(MID(D14,FIND(";",D14,1)+1,FIND(";",D14,FIND(";",D14,1)+1)-FIND(";",D14,1)-1))</f>
        <v>0.18970000000000001</v>
      </c>
      <c r="E29" s="1">
        <f t="shared" si="14"/>
        <v>0.28460000000000002</v>
      </c>
      <c r="F29" s="1">
        <f t="shared" si="14"/>
        <v>0.3795</v>
      </c>
      <c r="G29" s="1">
        <f t="shared" si="14"/>
        <v>0.1414</v>
      </c>
      <c r="H29" s="1">
        <f t="shared" si="14"/>
        <v>0.3795</v>
      </c>
      <c r="I29" s="1">
        <f t="shared" si="14"/>
        <v>0.28460000000000002</v>
      </c>
      <c r="J29" s="1">
        <f t="shared" si="14"/>
        <v>0.21210000000000001</v>
      </c>
      <c r="K29" s="1">
        <f t="shared" si="14"/>
        <v>0.28460000000000002</v>
      </c>
      <c r="L29" s="1">
        <f t="shared" si="14"/>
        <v>0.251</v>
      </c>
      <c r="M29" s="1">
        <f t="shared" si="14"/>
        <v>0.1673</v>
      </c>
      <c r="N29" s="1">
        <f t="shared" si="14"/>
        <v>0.28460000000000002</v>
      </c>
      <c r="O29" s="1">
        <f t="shared" si="14"/>
        <v>0.28460000000000002</v>
      </c>
      <c r="P29" s="1">
        <f t="shared" si="14"/>
        <v>0.1414</v>
      </c>
      <c r="Q29" s="1">
        <f t="shared" si="14"/>
        <v>0.2828</v>
      </c>
      <c r="R29" s="1">
        <f t="shared" si="14"/>
        <v>0.28460000000000002</v>
      </c>
      <c r="S29" s="1">
        <f t="shared" si="14"/>
        <v>0.28460000000000002</v>
      </c>
      <c r="T29" s="1">
        <f t="shared" si="14"/>
        <v>0.28460000000000002</v>
      </c>
      <c r="U29" s="1">
        <f t="shared" si="14"/>
        <v>0.28460000000000002</v>
      </c>
    </row>
    <row r="30" spans="1:21" x14ac:dyDescent="0.25">
      <c r="A30" s="2" t="s">
        <v>11</v>
      </c>
      <c r="B30" s="1">
        <f t="shared" si="11"/>
        <v>0.28460000000000002</v>
      </c>
      <c r="C30" s="1">
        <f t="shared" si="11"/>
        <v>0.28460000000000002</v>
      </c>
      <c r="D30" s="1">
        <f t="shared" ref="D30:U30" si="15">_xlfn.NUMBERVALUE(MID(D15,FIND(";",D15,1)+1,FIND(";",D15,FIND(";",D15,1)+1)-FIND(";",D15,1)-1))</f>
        <v>0.1673</v>
      </c>
      <c r="E30" s="1">
        <f t="shared" si="15"/>
        <v>0.3347</v>
      </c>
      <c r="F30" s="1">
        <f t="shared" si="15"/>
        <v>0.28460000000000002</v>
      </c>
      <c r="G30" s="1">
        <f t="shared" si="15"/>
        <v>0.251</v>
      </c>
      <c r="H30" s="1">
        <f t="shared" si="15"/>
        <v>0.3795</v>
      </c>
      <c r="I30" s="1">
        <f t="shared" si="15"/>
        <v>0.3347</v>
      </c>
      <c r="J30" s="1">
        <f t="shared" si="15"/>
        <v>0.28460000000000002</v>
      </c>
      <c r="K30" s="1">
        <f t="shared" si="15"/>
        <v>0.251</v>
      </c>
      <c r="L30" s="1">
        <f t="shared" si="15"/>
        <v>0.21210000000000001</v>
      </c>
      <c r="M30" s="1">
        <f t="shared" si="15"/>
        <v>0.18970000000000001</v>
      </c>
      <c r="N30" s="1">
        <f t="shared" si="15"/>
        <v>0.3347</v>
      </c>
      <c r="O30" s="1">
        <f t="shared" si="15"/>
        <v>0.28460000000000002</v>
      </c>
      <c r="P30" s="1">
        <f t="shared" si="15"/>
        <v>0.251</v>
      </c>
      <c r="Q30" s="1">
        <f t="shared" si="15"/>
        <v>0.28460000000000002</v>
      </c>
      <c r="R30" s="1">
        <f t="shared" si="15"/>
        <v>0.1673</v>
      </c>
      <c r="S30" s="1">
        <f t="shared" si="15"/>
        <v>0.1673</v>
      </c>
      <c r="T30" s="1">
        <f t="shared" si="15"/>
        <v>0.28460000000000002</v>
      </c>
      <c r="U30" s="1">
        <f t="shared" si="15"/>
        <v>0.3347</v>
      </c>
    </row>
    <row r="32" spans="1:21" x14ac:dyDescent="0.25">
      <c r="A32" s="3" t="s">
        <v>73</v>
      </c>
      <c r="B32" s="3">
        <v>1</v>
      </c>
      <c r="C32" s="3">
        <v>2</v>
      </c>
      <c r="D32" s="3">
        <v>3</v>
      </c>
      <c r="E32" s="3">
        <v>4</v>
      </c>
      <c r="F32" s="3">
        <v>5</v>
      </c>
      <c r="G32" s="3">
        <v>6</v>
      </c>
      <c r="H32" s="3">
        <v>7</v>
      </c>
      <c r="I32" s="3">
        <v>8</v>
      </c>
      <c r="J32" s="3">
        <v>9</v>
      </c>
      <c r="K32" s="3">
        <v>10</v>
      </c>
      <c r="L32" s="3">
        <v>11</v>
      </c>
      <c r="M32" s="3">
        <v>12</v>
      </c>
      <c r="N32" s="3">
        <v>13</v>
      </c>
      <c r="O32" s="3">
        <v>14</v>
      </c>
      <c r="P32" s="3">
        <v>15</v>
      </c>
      <c r="Q32" s="3">
        <v>16</v>
      </c>
      <c r="R32" s="3">
        <v>17</v>
      </c>
      <c r="S32" s="3">
        <v>18</v>
      </c>
      <c r="T32" s="3">
        <v>19</v>
      </c>
      <c r="U32" s="3">
        <v>20</v>
      </c>
    </row>
    <row r="33" spans="1:21" x14ac:dyDescent="0.25">
      <c r="A33" s="2" t="s">
        <v>3</v>
      </c>
      <c r="B33" s="1">
        <f>_xlfn.NUMBERVALUE(MID(B11,FIND(";",B11,FIND(";",B11,1)+1)+1, LEN(B11)-FIND(";",B11,FIND(";",B11,1)+1)-1))</f>
        <v>0.3795</v>
      </c>
      <c r="C33" s="1">
        <f t="shared" ref="C33:U37" si="16">_xlfn.NUMBERVALUE(MID(C11,FIND(";",C11,FIND(";",C11,1)+1)+1, LEN(C11)-FIND(";",C11,FIND(";",C11,1)+1)-1))</f>
        <v>0.3795</v>
      </c>
      <c r="D33" s="1">
        <f t="shared" si="16"/>
        <v>0.3347</v>
      </c>
      <c r="E33" s="1">
        <f t="shared" si="16"/>
        <v>0.251</v>
      </c>
      <c r="F33" s="1">
        <f t="shared" si="16"/>
        <v>0.251</v>
      </c>
      <c r="G33" s="1">
        <f t="shared" si="16"/>
        <v>0.3795</v>
      </c>
      <c r="H33" s="1">
        <f t="shared" si="16"/>
        <v>0.3347</v>
      </c>
      <c r="I33" s="1">
        <f t="shared" si="16"/>
        <v>0.3795</v>
      </c>
      <c r="J33" s="1">
        <f t="shared" si="16"/>
        <v>0.251</v>
      </c>
      <c r="K33" s="1">
        <f t="shared" si="16"/>
        <v>0.3347</v>
      </c>
      <c r="L33" s="1">
        <f t="shared" si="16"/>
        <v>0.3347</v>
      </c>
      <c r="M33" s="1">
        <f t="shared" si="16"/>
        <v>0.3795</v>
      </c>
      <c r="N33" s="1">
        <f t="shared" si="16"/>
        <v>0.3795</v>
      </c>
      <c r="O33" s="1">
        <f t="shared" si="16"/>
        <v>0.21210000000000001</v>
      </c>
      <c r="P33" s="1">
        <f t="shared" si="16"/>
        <v>0.251</v>
      </c>
      <c r="Q33" s="1">
        <f t="shared" si="16"/>
        <v>0.3795</v>
      </c>
      <c r="R33" s="1">
        <f t="shared" si="16"/>
        <v>0.3347</v>
      </c>
      <c r="S33" s="1">
        <f t="shared" si="16"/>
        <v>0.3795</v>
      </c>
      <c r="T33" s="1">
        <f t="shared" si="16"/>
        <v>0.2828</v>
      </c>
      <c r="U33" s="1">
        <f t="shared" si="16"/>
        <v>0.3347</v>
      </c>
    </row>
    <row r="34" spans="1:21" x14ac:dyDescent="0.25">
      <c r="A34" s="2" t="s">
        <v>5</v>
      </c>
      <c r="B34" s="1">
        <f t="shared" ref="B34:Q37" si="17">_xlfn.NUMBERVALUE(MID(B12,FIND(";",B12,FIND(";",B12,1)+1)+1, LEN(B12)-FIND(";",B12,FIND(";",B12,1)+1)-1))</f>
        <v>0.3795</v>
      </c>
      <c r="C34" s="1">
        <f t="shared" si="17"/>
        <v>0.3347</v>
      </c>
      <c r="D34" s="1">
        <f t="shared" si="17"/>
        <v>0.3347</v>
      </c>
      <c r="E34" s="1">
        <f t="shared" si="17"/>
        <v>0.2828</v>
      </c>
      <c r="F34" s="1">
        <f t="shared" si="17"/>
        <v>0.3795</v>
      </c>
      <c r="G34" s="1">
        <f t="shared" si="17"/>
        <v>0.3795</v>
      </c>
      <c r="H34" s="1">
        <f t="shared" si="17"/>
        <v>0.1643</v>
      </c>
      <c r="I34" s="1">
        <f t="shared" si="17"/>
        <v>0.3347</v>
      </c>
      <c r="J34" s="1">
        <f t="shared" si="17"/>
        <v>0.3347</v>
      </c>
      <c r="K34" s="1">
        <f t="shared" si="17"/>
        <v>0.3347</v>
      </c>
      <c r="L34" s="1">
        <f t="shared" si="17"/>
        <v>0.3795</v>
      </c>
      <c r="M34" s="1">
        <f t="shared" si="17"/>
        <v>0.3347</v>
      </c>
      <c r="N34" s="1">
        <f t="shared" si="17"/>
        <v>0.3795</v>
      </c>
      <c r="O34" s="1">
        <f t="shared" si="17"/>
        <v>0.1643</v>
      </c>
      <c r="P34" s="1">
        <f t="shared" si="17"/>
        <v>0.3795</v>
      </c>
      <c r="Q34" s="1">
        <f t="shared" si="17"/>
        <v>0.3795</v>
      </c>
      <c r="R34" s="1">
        <f t="shared" si="16"/>
        <v>0.3347</v>
      </c>
      <c r="S34" s="1">
        <f t="shared" si="16"/>
        <v>0.251</v>
      </c>
      <c r="T34" s="1">
        <f t="shared" si="16"/>
        <v>0.2828</v>
      </c>
      <c r="U34" s="1">
        <f t="shared" si="16"/>
        <v>0.28460000000000002</v>
      </c>
    </row>
    <row r="35" spans="1:21" x14ac:dyDescent="0.25">
      <c r="A35" s="2" t="s">
        <v>7</v>
      </c>
      <c r="B35" s="1">
        <f t="shared" si="17"/>
        <v>0.3795</v>
      </c>
      <c r="C35" s="1">
        <f t="shared" si="16"/>
        <v>0.28460000000000002</v>
      </c>
      <c r="D35" s="1">
        <f t="shared" si="16"/>
        <v>0.3795</v>
      </c>
      <c r="E35" s="1">
        <f t="shared" si="16"/>
        <v>0.3347</v>
      </c>
      <c r="F35" s="1">
        <f t="shared" si="16"/>
        <v>0.251</v>
      </c>
      <c r="G35" s="1">
        <f t="shared" si="16"/>
        <v>0.3795</v>
      </c>
      <c r="H35" s="1">
        <f t="shared" si="16"/>
        <v>0.3347</v>
      </c>
      <c r="I35" s="1">
        <f t="shared" si="16"/>
        <v>0.1643</v>
      </c>
      <c r="J35" s="1">
        <f t="shared" si="16"/>
        <v>0.28460000000000002</v>
      </c>
      <c r="K35" s="1">
        <f t="shared" si="16"/>
        <v>0.3795</v>
      </c>
      <c r="L35" s="1">
        <f t="shared" si="16"/>
        <v>0.3795</v>
      </c>
      <c r="M35" s="1">
        <f t="shared" si="16"/>
        <v>0.28460000000000002</v>
      </c>
      <c r="N35" s="1">
        <f t="shared" si="16"/>
        <v>0.2828</v>
      </c>
      <c r="O35" s="1">
        <f t="shared" si="16"/>
        <v>0.3347</v>
      </c>
      <c r="P35" s="1">
        <f t="shared" si="16"/>
        <v>0.3347</v>
      </c>
      <c r="Q35" s="1">
        <f t="shared" si="16"/>
        <v>0.251</v>
      </c>
      <c r="R35" s="1">
        <f t="shared" si="16"/>
        <v>0.18970000000000001</v>
      </c>
      <c r="S35" s="1">
        <f t="shared" si="16"/>
        <v>0.3795</v>
      </c>
      <c r="T35" s="1">
        <f t="shared" si="16"/>
        <v>0.2828</v>
      </c>
      <c r="U35" s="1">
        <f t="shared" si="16"/>
        <v>0.251</v>
      </c>
    </row>
    <row r="36" spans="1:21" x14ac:dyDescent="0.25">
      <c r="A36" s="2" t="s">
        <v>9</v>
      </c>
      <c r="B36" s="1">
        <f t="shared" si="17"/>
        <v>0.3795</v>
      </c>
      <c r="C36" s="1">
        <f t="shared" si="16"/>
        <v>0.2828</v>
      </c>
      <c r="D36" s="1">
        <f t="shared" si="16"/>
        <v>0.28460000000000002</v>
      </c>
      <c r="E36" s="1">
        <f t="shared" si="16"/>
        <v>0.3795</v>
      </c>
      <c r="F36" s="1">
        <f t="shared" si="16"/>
        <v>0.3795</v>
      </c>
      <c r="G36" s="1">
        <f t="shared" si="16"/>
        <v>0.21210000000000001</v>
      </c>
      <c r="H36" s="1">
        <f t="shared" si="16"/>
        <v>0.3795</v>
      </c>
      <c r="I36" s="1">
        <f t="shared" si="16"/>
        <v>0.3795</v>
      </c>
      <c r="J36" s="1">
        <f t="shared" si="16"/>
        <v>0.2828</v>
      </c>
      <c r="K36" s="1">
        <f t="shared" si="16"/>
        <v>0.3795</v>
      </c>
      <c r="L36" s="1">
        <f t="shared" si="16"/>
        <v>0.3347</v>
      </c>
      <c r="M36" s="1">
        <f t="shared" si="16"/>
        <v>0.251</v>
      </c>
      <c r="N36" s="1">
        <f t="shared" si="16"/>
        <v>0.3795</v>
      </c>
      <c r="O36" s="1">
        <f t="shared" si="16"/>
        <v>0.3795</v>
      </c>
      <c r="P36" s="1">
        <f t="shared" si="16"/>
        <v>0.21210000000000001</v>
      </c>
      <c r="Q36" s="1">
        <f t="shared" si="16"/>
        <v>0.2828</v>
      </c>
      <c r="R36" s="1">
        <f t="shared" si="16"/>
        <v>0.3795</v>
      </c>
      <c r="S36" s="1">
        <f t="shared" si="16"/>
        <v>0.3795</v>
      </c>
      <c r="T36" s="1">
        <f t="shared" si="16"/>
        <v>0.3795</v>
      </c>
      <c r="U36" s="1">
        <f t="shared" si="16"/>
        <v>0.3795</v>
      </c>
    </row>
    <row r="37" spans="1:21" x14ac:dyDescent="0.25">
      <c r="A37" s="2" t="s">
        <v>11</v>
      </c>
      <c r="B37" s="1">
        <f t="shared" si="17"/>
        <v>0.3795</v>
      </c>
      <c r="C37" s="1">
        <f t="shared" si="16"/>
        <v>0.3795</v>
      </c>
      <c r="D37" s="1">
        <f t="shared" si="16"/>
        <v>0.251</v>
      </c>
      <c r="E37" s="1">
        <f t="shared" si="16"/>
        <v>0.3347</v>
      </c>
      <c r="F37" s="1">
        <f t="shared" si="16"/>
        <v>0.3795</v>
      </c>
      <c r="G37" s="1">
        <f t="shared" si="16"/>
        <v>0.3347</v>
      </c>
      <c r="H37" s="1">
        <f t="shared" si="16"/>
        <v>0.3795</v>
      </c>
      <c r="I37" s="1">
        <f t="shared" si="16"/>
        <v>0.3347</v>
      </c>
      <c r="J37" s="1">
        <f t="shared" si="16"/>
        <v>0.3795</v>
      </c>
      <c r="K37" s="1">
        <f t="shared" si="16"/>
        <v>0.3347</v>
      </c>
      <c r="L37" s="1">
        <f t="shared" si="16"/>
        <v>0.2828</v>
      </c>
      <c r="M37" s="1">
        <f t="shared" si="16"/>
        <v>0.28460000000000002</v>
      </c>
      <c r="N37" s="1">
        <f t="shared" si="16"/>
        <v>0.3347</v>
      </c>
      <c r="O37" s="1">
        <f t="shared" si="16"/>
        <v>0.3795</v>
      </c>
      <c r="P37" s="1">
        <f t="shared" si="16"/>
        <v>0.3347</v>
      </c>
      <c r="Q37" s="1">
        <f t="shared" si="16"/>
        <v>0.3795</v>
      </c>
      <c r="R37" s="1">
        <f t="shared" si="16"/>
        <v>0.251</v>
      </c>
      <c r="S37" s="1">
        <f t="shared" si="16"/>
        <v>0.251</v>
      </c>
      <c r="T37" s="1">
        <f t="shared" si="16"/>
        <v>0.3795</v>
      </c>
      <c r="U37" s="1">
        <f t="shared" si="16"/>
        <v>0.3347</v>
      </c>
    </row>
    <row r="40" spans="1:21" x14ac:dyDescent="0.25">
      <c r="A40" s="3" t="s">
        <v>0</v>
      </c>
      <c r="B40" s="9" t="s">
        <v>77</v>
      </c>
      <c r="C40" s="9" t="s">
        <v>79</v>
      </c>
      <c r="D40" s="9" t="s">
        <v>80</v>
      </c>
      <c r="E40" s="9" t="s">
        <v>81</v>
      </c>
      <c r="F40" s="9" t="s">
        <v>86</v>
      </c>
    </row>
    <row r="41" spans="1:21" x14ac:dyDescent="0.25">
      <c r="A41" s="2" t="s">
        <v>3</v>
      </c>
      <c r="B41" s="9" t="s">
        <v>87</v>
      </c>
      <c r="C41" s="9">
        <v>0.31495000000000001</v>
      </c>
      <c r="D41" s="9">
        <v>-1.9150000000000014E-2</v>
      </c>
      <c r="E41" s="9">
        <v>0.1527</v>
      </c>
      <c r="F41" s="9" t="s">
        <v>88</v>
      </c>
    </row>
    <row r="42" spans="1:21" x14ac:dyDescent="0.25">
      <c r="A42" s="2" t="s">
        <v>5</v>
      </c>
      <c r="B42" s="9" t="s">
        <v>89</v>
      </c>
      <c r="C42" s="9">
        <v>0.31659999999999999</v>
      </c>
      <c r="D42" s="9">
        <v>-4.4649999999999981E-2</v>
      </c>
      <c r="E42" s="9">
        <v>0.14710000000000001</v>
      </c>
      <c r="F42" s="9" t="s">
        <v>88</v>
      </c>
    </row>
    <row r="43" spans="1:21" x14ac:dyDescent="0.25">
      <c r="A43" s="2" t="s">
        <v>7</v>
      </c>
      <c r="B43" s="9" t="s">
        <v>90</v>
      </c>
      <c r="C43" s="9">
        <v>0.30420000000000003</v>
      </c>
      <c r="D43" s="9">
        <v>-0.11445</v>
      </c>
      <c r="E43" s="9">
        <v>0.1235</v>
      </c>
      <c r="F43" s="9" t="s">
        <v>88</v>
      </c>
    </row>
    <row r="44" spans="1:21" x14ac:dyDescent="0.25">
      <c r="A44" s="2" t="s">
        <v>9</v>
      </c>
      <c r="B44" s="9" t="s">
        <v>91</v>
      </c>
      <c r="C44" s="9">
        <v>0.31725000000000003</v>
      </c>
      <c r="D44" s="9">
        <v>-2.1450000000000011E-2</v>
      </c>
      <c r="E44" s="9">
        <v>0.15329999999999999</v>
      </c>
      <c r="F44" s="9" t="s">
        <v>88</v>
      </c>
    </row>
    <row r="45" spans="1:21" x14ac:dyDescent="0.25">
      <c r="A45" s="2" t="s">
        <v>11</v>
      </c>
      <c r="B45" s="9" t="s">
        <v>92</v>
      </c>
      <c r="C45" s="9">
        <v>0.32130000000000003</v>
      </c>
      <c r="D45" s="9">
        <v>-6.0000000000000053E-3</v>
      </c>
      <c r="E45" s="9">
        <v>0.15920000000000001</v>
      </c>
      <c r="F45" s="9" t="s">
        <v>88</v>
      </c>
    </row>
  </sheetData>
  <mergeCells count="2">
    <mergeCell ref="A1:U1"/>
    <mergeCell ref="A9:U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88D38D-CA3A-408B-A9EE-52D8326ABD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DELPHI</vt:lpstr>
      <vt:lpstr>REF</vt:lpstr>
      <vt:lpstr>DELPHI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Thế Vũ Phạm</dc:creator>
  <cp:lastModifiedBy>Thế Vũ Phạm</cp:lastModifiedBy>
  <dcterms:created xsi:type="dcterms:W3CDTF">2015-06-05T18:17:20Z</dcterms:created>
  <dcterms:modified xsi:type="dcterms:W3CDTF">2025-06-10T02:41:28Z</dcterms:modified>
</cp:coreProperties>
</file>