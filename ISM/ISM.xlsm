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activeX/activeX70.xml" ContentType="application/vnd.ms-office.activeX+xml"/>
  <Override PartName="/xl/activeX/activeX71.xml" ContentType="application/vnd.ms-office.activeX+xml"/>
  <Override PartName="/xl/activeX/activeX72.xml" ContentType="application/vnd.ms-office.activeX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activeX/activeX82.xml" ContentType="application/vnd.ms-office.activeX+xml"/>
  <Override PartName="/xl/activeX/activeX83.xml" ContentType="application/vnd.ms-office.activeX+xml"/>
  <Override PartName="/xl/activeX/activeX84.xml" ContentType="application/vnd.ms-office.activeX+xml"/>
  <Override PartName="/xl/activeX/activeX85.xml" ContentType="application/vnd.ms-office.activeX+xml"/>
  <Override PartName="/xl/activeX/activeX86.xml" ContentType="application/vnd.ms-office.activeX+xml"/>
  <Override PartName="/xl/activeX/activeX87.xml" ContentType="application/vnd.ms-office.activeX+xml"/>
  <Override PartName="/xl/activeX/activeX88.xml" ContentType="application/vnd.ms-office.activeX+xml"/>
  <Override PartName="/xl/activeX/activeX89.xml" ContentType="application/vnd.ms-office.activeX+xml"/>
  <Override PartName="/xl/activeX/activeX90.xml" ContentType="application/vnd.ms-office.activeX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activeX/activeX94.xml" ContentType="application/vnd.ms-office.activeX+xml"/>
  <Override PartName="/xl/activeX/activeX95.xml" ContentType="application/vnd.ms-office.activeX+xml"/>
  <Override PartName="/xl/activeX/activeX96.xml" ContentType="application/vnd.ms-office.activeX+xml"/>
  <Override PartName="/xl/activeX/activeX97.xml" ContentType="application/vnd.ms-office.activeX+xml"/>
  <Override PartName="/xl/activeX/activeX98.xml" ContentType="application/vnd.ms-office.activeX+xml"/>
  <Override PartName="/xl/activeX/activeX99.xml" ContentType="application/vnd.ms-office.activeX+xml"/>
  <Override PartName="/xl/activeX/activeX100.xml" ContentType="application/vnd.ms-office.activeX+xml"/>
  <Override PartName="/xl/activeX/activeX101.xml" ContentType="application/vnd.ms-office.activeX+xml"/>
  <Override PartName="/xl/activeX/activeX102.xml" ContentType="application/vnd.ms-office.activeX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Research\ISM-MICMAC\"/>
    </mc:Choice>
  </mc:AlternateContent>
  <xr:revisionPtr revIDLastSave="0" documentId="13_ncr:1_{04C67C10-D9EA-4971-80AB-0BA246B260EC}" xr6:coauthVersionLast="47" xr6:coauthVersionMax="47" xr10:uidLastSave="{00000000-0000-0000-0000-000000000000}"/>
  <bookViews>
    <workbookView xWindow="-108" yWindow="-108" windowWidth="23256" windowHeight="12456" firstSheet="1" activeTab="3" xr2:uid="{EFAD0C54-439A-41E1-9FCE-D150A0E14CAB}"/>
  </bookViews>
  <sheets>
    <sheet name="Sheet2" sheetId="2" r:id="rId1"/>
    <sheet name="Sheet3" sheetId="3" r:id="rId2"/>
    <sheet name="Sheet1" sheetId="1" r:id="rId3"/>
    <sheet name="Result FRM" sheetId="4" r:id="rId4"/>
    <sheet name="Result IRFA" sheetId="5" r:id="rId5"/>
    <sheet name="Result AutoComplete" sheetId="6" r:id="rId6"/>
    <sheet name="SPF ISM" sheetId="7" r:id="rId7"/>
    <sheet name="Ans1" sheetId="8" r:id="rId8"/>
    <sheet name="Ans2" sheetId="12" r:id="rId9"/>
    <sheet name="Ans3" sheetId="13" r:id="rId10"/>
    <sheet name="Ans4" sheetId="14" r:id="rId11"/>
  </sheets>
  <externalReferences>
    <externalReference r:id="rId12"/>
  </externalReferenc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4" l="1"/>
  <c r="C17" i="14"/>
  <c r="D17" i="14"/>
  <c r="E17" i="14"/>
  <c r="F17" i="14"/>
  <c r="B18" i="14"/>
  <c r="C18" i="14"/>
  <c r="D18" i="14"/>
  <c r="E18" i="14"/>
  <c r="F18" i="14"/>
  <c r="B19" i="14"/>
  <c r="C19" i="14"/>
  <c r="D19" i="14"/>
  <c r="E19" i="14"/>
  <c r="F19" i="14"/>
  <c r="B20" i="14"/>
  <c r="C20" i="14"/>
  <c r="D20" i="14"/>
  <c r="E20" i="14"/>
  <c r="F20" i="14"/>
  <c r="C16" i="14"/>
  <c r="D16" i="14"/>
  <c r="E16" i="14"/>
  <c r="F16" i="14"/>
  <c r="B17" i="13"/>
  <c r="C17" i="13"/>
  <c r="D17" i="13"/>
  <c r="E17" i="13"/>
  <c r="F17" i="13"/>
  <c r="B18" i="13"/>
  <c r="C18" i="13"/>
  <c r="D18" i="13"/>
  <c r="E18" i="13"/>
  <c r="F18" i="13"/>
  <c r="B19" i="13"/>
  <c r="C19" i="13"/>
  <c r="D19" i="13"/>
  <c r="E19" i="13"/>
  <c r="F19" i="13"/>
  <c r="B20" i="13"/>
  <c r="C20" i="13"/>
  <c r="D20" i="13"/>
  <c r="E20" i="13"/>
  <c r="F20" i="13"/>
  <c r="C16" i="13"/>
  <c r="D16" i="13"/>
  <c r="E16" i="13"/>
  <c r="F16" i="13"/>
  <c r="B17" i="12"/>
  <c r="C17" i="12"/>
  <c r="D17" i="12"/>
  <c r="E17" i="12"/>
  <c r="F17" i="12"/>
  <c r="B18" i="12"/>
  <c r="C18" i="12"/>
  <c r="D18" i="12"/>
  <c r="E18" i="12"/>
  <c r="F18" i="12"/>
  <c r="B19" i="12"/>
  <c r="C19" i="12"/>
  <c r="D19" i="12"/>
  <c r="E19" i="12"/>
  <c r="F19" i="12"/>
  <c r="B20" i="12"/>
  <c r="C20" i="12"/>
  <c r="D20" i="12"/>
  <c r="E20" i="12"/>
  <c r="F20" i="12"/>
  <c r="C16" i="12"/>
  <c r="D16" i="12"/>
  <c r="E16" i="12"/>
  <c r="F16" i="12"/>
  <c r="B17" i="8"/>
  <c r="C17" i="8"/>
  <c r="D17" i="8"/>
  <c r="E17" i="8"/>
  <c r="F17" i="8"/>
  <c r="B18" i="8"/>
  <c r="C18" i="8"/>
  <c r="D18" i="8"/>
  <c r="E18" i="8"/>
  <c r="F18" i="8"/>
  <c r="B19" i="8"/>
  <c r="C19" i="8"/>
  <c r="D19" i="8"/>
  <c r="E19" i="8"/>
  <c r="F19" i="8"/>
  <c r="B20" i="8"/>
  <c r="C20" i="8"/>
  <c r="D20" i="8"/>
  <c r="E20" i="8"/>
  <c r="F20" i="8"/>
  <c r="C16" i="8"/>
  <c r="D16" i="8"/>
  <c r="E16" i="8"/>
  <c r="F16" i="8"/>
  <c r="B16" i="14"/>
  <c r="B16" i="13"/>
  <c r="B16" i="12"/>
  <c r="B16" i="8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B2" i="6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V22" i="3"/>
  <c r="E79" i="3"/>
  <c r="D79" i="3"/>
  <c r="D62" i="3"/>
  <c r="E62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D20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5" i="3"/>
  <c r="D14" i="7"/>
  <c r="B14" i="7"/>
  <c r="B13" i="7"/>
  <c r="F11" i="7"/>
  <c r="F14" i="7"/>
  <c r="B12" i="7"/>
  <c r="E15" i="7"/>
  <c r="E14" i="7"/>
  <c r="B11" i="7"/>
  <c r="C13" i="7"/>
  <c r="E13" i="7"/>
  <c r="R3" i="7"/>
  <c r="C15" i="7"/>
  <c r="E12" i="7"/>
  <c r="D13" i="7"/>
  <c r="R4" i="7"/>
  <c r="C12" i="7"/>
  <c r="C14" i="7"/>
  <c r="B15" i="7"/>
  <c r="R5" i="7"/>
  <c r="D15" i="7"/>
  <c r="D11" i="7"/>
  <c r="D12" i="7"/>
  <c r="E11" i="7"/>
  <c r="F13" i="7"/>
  <c r="F15" i="7"/>
  <c r="C11" i="7"/>
  <c r="R6" i="7"/>
  <c r="F12" i="7"/>
  <c r="R2" i="7"/>
  <c r="H12" i="7" l="1"/>
  <c r="H11" i="7"/>
  <c r="H13" i="7" s="1"/>
  <c r="F19" i="7" s="1"/>
  <c r="C19" i="7" l="1"/>
  <c r="F18" i="7"/>
  <c r="C20" i="7"/>
  <c r="D22" i="7"/>
  <c r="D18" i="7"/>
  <c r="B19" i="7"/>
  <c r="C22" i="7"/>
  <c r="D19" i="7"/>
  <c r="F21" i="7"/>
  <c r="E22" i="7"/>
  <c r="E19" i="7"/>
  <c r="E18" i="7"/>
  <c r="E20" i="7"/>
  <c r="E21" i="7"/>
  <c r="D20" i="7"/>
  <c r="F20" i="7"/>
  <c r="F22" i="7"/>
  <c r="D21" i="7"/>
  <c r="B21" i="7"/>
  <c r="C21" i="7"/>
  <c r="C18" i="7"/>
  <c r="B20" i="7"/>
  <c r="B18" i="7"/>
  <c r="B22" i="7"/>
</calcChain>
</file>

<file path=xl/sharedStrings.xml><?xml version="1.0" encoding="utf-8"?>
<sst xmlns="http://schemas.openxmlformats.org/spreadsheetml/2006/main" count="1435" uniqueCount="127">
  <si>
    <t>C15</t>
  </si>
  <si>
    <t>C14</t>
  </si>
  <si>
    <t>C13</t>
  </si>
  <si>
    <t>C12</t>
  </si>
  <si>
    <t>C11</t>
  </si>
  <si>
    <t>C10</t>
  </si>
  <si>
    <t>C9</t>
  </si>
  <si>
    <t>C8</t>
  </si>
  <si>
    <t>C7</t>
  </si>
  <si>
    <t>C6</t>
  </si>
  <si>
    <t>C5</t>
  </si>
  <si>
    <t>C4</t>
  </si>
  <si>
    <t>C3</t>
  </si>
  <si>
    <t>C2</t>
  </si>
  <si>
    <t>C1</t>
  </si>
  <si>
    <t>       </t>
  </si>
  <si>
    <t>Variables</t>
  </si>
  <si>
    <t>Driving Power</t>
  </si>
  <si>
    <t>Dependence Power</t>
  </si>
  <si>
    <t>Structural Self-Interaction Matrix (SSIM)</t>
  </si>
  <si>
    <t>V</t>
  </si>
  <si>
    <t>O</t>
  </si>
  <si>
    <t>A</t>
  </si>
  <si>
    <t>X</t>
  </si>
  <si>
    <t>Reachability Matrix(RM)</t>
  </si>
  <si>
    <t>Final Reachability Matrix(FRM)</t>
  </si>
  <si>
    <t>1*</t>
  </si>
  <si>
    <t>A lên B; B lên C --&gt; A lên C</t>
  </si>
  <si>
    <t>Level Partitioning(LP)</t>
  </si>
  <si>
    <t>Elements(Mi)</t>
  </si>
  <si>
    <t>Reachability Set R(Mi)</t>
  </si>
  <si>
    <t>Antecedent Set A(Ni)</t>
  </si>
  <si>
    <t>Intersection Set R(Mi)∩A(Ni)</t>
  </si>
  <si>
    <t>Level</t>
  </si>
  <si>
    <t>1,</t>
  </si>
  <si>
    <t>2,</t>
  </si>
  <si>
    <t>1, 2, 5,</t>
  </si>
  <si>
    <t>3,</t>
  </si>
  <si>
    <t>1, 3, 5,</t>
  </si>
  <si>
    <t>4, 6, 7, 9, 10, 11, 12, 13,</t>
  </si>
  <si>
    <t>1, 2, 3, 4, 5, 6, 7, 8, 9, 10, 11, 12, 13,</t>
  </si>
  <si>
    <t>5,</t>
  </si>
  <si>
    <t>1, 5,</t>
  </si>
  <si>
    <t>8,</t>
  </si>
  <si>
    <t>1, 5, 8,</t>
  </si>
  <si>
    <t>14,</t>
  </si>
  <si>
    <t>1, 2, 3, 4, 5, 6, 7, 8, 9, 10, 11, 12, 13, 14,</t>
  </si>
  <si>
    <t>15,</t>
  </si>
  <si>
    <t>1, 2, 3, 4, 5, 6, 7, 8, 9, 10, 11, 12, 13, 14, 15,</t>
  </si>
  <si>
    <t>Level Partitioning Iterations</t>
  </si>
  <si>
    <t>2, 4, 6, 7, 9, 10, 11, 12, 13, 14, 15,</t>
  </si>
  <si>
    <t>3, 4, 6, 7, 9, 10, 11, 12, 13, 14, 15,</t>
  </si>
  <si>
    <t>4, 6, 7, 9, 10, 11, 12, 13, 14, 15,</t>
  </si>
  <si>
    <t>2, 3, 4, 5, 6, 7, 8, 9, 10, 11, 12, 13, 14, 15,</t>
  </si>
  <si>
    <t>4, 6, 7, 8, 9, 10, 11, 12, 13, 14, 15,</t>
  </si>
  <si>
    <t>14, 15,</t>
  </si>
  <si>
    <t>Conical Matrix(CM)</t>
  </si>
  <si>
    <t>Reduced Conical Matrix(CM)</t>
  </si>
  <si>
    <t xml:space="preserve">R(1): 1, 2, 3, 4, 5, 6, 7, 8, 9, 10, 11, 12, 13, 14, 15, </t>
  </si>
  <si>
    <t xml:space="preserve">A(1): 1, </t>
  </si>
  <si>
    <t xml:space="preserve">A(2): 1, 2, 5, </t>
  </si>
  <si>
    <t xml:space="preserve">A(3): 1, 3, 5, </t>
  </si>
  <si>
    <t xml:space="preserve">A(5): 1, 5, </t>
  </si>
  <si>
    <t xml:space="preserve">R(7): 4, 6, 7, 9, 10, 11, 12, 13, 14, 15, </t>
  </si>
  <si>
    <t xml:space="preserve">A(8): 1, 5, 8, </t>
  </si>
  <si>
    <t xml:space="preserve">A(12): 1, 2, 3, 4, 5, 6, 7, 8, 9, 10, 11, 12, 13, </t>
  </si>
  <si>
    <t xml:space="preserve">A(13): 1, 2, 3, 4, 5, 6, 7, 8, 9, 10, 11, 12, 13, </t>
  </si>
  <si>
    <t xml:space="preserve">R(14): 14, 15, </t>
  </si>
  <si>
    <t xml:space="preserve">A(14): 1, 2, 3, 4, 5, 6, 7, 8, 9, 10, 11, 12, 13, 14, </t>
  </si>
  <si>
    <t xml:space="preserve">R(15): 15, </t>
  </si>
  <si>
    <t xml:space="preserve">A(15): 1, 2, 3, 4, 5, 6, 7, 8, 9, 10, 11, 12, 13, 14, 15, </t>
  </si>
  <si>
    <t xml:space="preserve">R(2): 2, 4, 6, 7, 9, 10, 11, 12, 13, 14, 15, </t>
  </si>
  <si>
    <t xml:space="preserve">R(3): 3, 4, 6, 7, 9, 10, 11, 12, 13, 14, 15, </t>
  </si>
  <si>
    <t xml:space="preserve">R(4): 4, 6, 7, 9, 10, 11, 12, 13, 14, 15, </t>
  </si>
  <si>
    <t xml:space="preserve">A(4): 1, 2, 3, 4, 5, 6, 7, 8, 9, 10, 11, 12, 13, </t>
  </si>
  <si>
    <t xml:space="preserve">R(5): 2, 3, 4, 5, 6, 7, 8, 9, 10, 11, 12, 13, 14, 15, </t>
  </si>
  <si>
    <t xml:space="preserve">R(6): 4, 6, 7, 9, 10, 11, 12, 13, 14, 15, </t>
  </si>
  <si>
    <t xml:space="preserve">A(6): 1, 2, 3, 4, 5, 6, 7, 8, 9, 10, 11, 12, 13, </t>
  </si>
  <si>
    <t xml:space="preserve">A(7): 1, 2, 3, 4, 5, 6, 7, 8, 9, 10, 11, 12, 13, </t>
  </si>
  <si>
    <t xml:space="preserve">R(8): 4, 6, 7, 8, 9, 10, 11, 12, 13, 14, 15, </t>
  </si>
  <si>
    <t xml:space="preserve">R(9): 4, 6, 7, 9, 10, 11, 12, 13, 14, 15, </t>
  </si>
  <si>
    <t xml:space="preserve">A(9): 1, 2, 3, 4, 5, 6, 7, 8, 9, 10, 11, 12, 13, </t>
  </si>
  <si>
    <t xml:space="preserve">R(10): 4, 6, 7, 9, 10, 11, 12, 13, 14, 15, </t>
  </si>
  <si>
    <t xml:space="preserve">A(10): 1, 2, 3, 4, 5, 6, 7, 8, 9, 10, 11, 12, 13, </t>
  </si>
  <si>
    <t xml:space="preserve">R(11): 4, 6, 7, 9, 10, 11, 12, 13, 14, 15, </t>
  </si>
  <si>
    <t xml:space="preserve">A(11): 1, 2, 3, 4, 5, 6, 7, 8, 9, 10, 11, 12, 13, </t>
  </si>
  <si>
    <t xml:space="preserve">R(12): 4, 6, 7, 9, 10, 11, 12, 13, 14, 15, </t>
  </si>
  <si>
    <t xml:space="preserve">R(13): 4, 6, 7, 9, 10, 11, 12, 13, 14, 15, </t>
  </si>
  <si>
    <t>4,6,7,9,10,11,12,13,</t>
  </si>
  <si>
    <t>2,3,8,</t>
  </si>
  <si>
    <t>(0,9; 0,1; 0,1)</t>
  </si>
  <si>
    <t>(0,7; 0,3; 0,3)</t>
  </si>
  <si>
    <t>(0,5; 0,5; 0,5)</t>
  </si>
  <si>
    <t>(0,3; 0,7; 0,3)</t>
  </si>
  <si>
    <t>AMF</t>
  </si>
  <si>
    <t>HF</t>
  </si>
  <si>
    <t>EF</t>
  </si>
  <si>
    <t>LF</t>
  </si>
  <si>
    <t>NF</t>
  </si>
  <si>
    <t>(0,1; 0,9; 0,1)</t>
  </si>
  <si>
    <t>I -&gt; j</t>
  </si>
  <si>
    <t>j-&gt;i</t>
  </si>
  <si>
    <t>I - j</t>
  </si>
  <si>
    <t/>
  </si>
  <si>
    <t>W</t>
  </si>
  <si>
    <t>(0,667; 0,394; 0,19)</t>
  </si>
  <si>
    <t>(0,598; 0,488; 0,166)</t>
  </si>
  <si>
    <t>(0,402; 0,684; 0,214)</t>
  </si>
  <si>
    <t>(0,466; 0,591; 0,335)</t>
  </si>
  <si>
    <t>(0,403; 0,684; 0,214)</t>
  </si>
  <si>
    <t>(0,759; 0,281; 0,151)</t>
  </si>
  <si>
    <t>(0,633; 0,421; 0,283)</t>
  </si>
  <si>
    <t>(0,758; 0,282; 0,152)</t>
  </si>
  <si>
    <t>(0,598; 0,488; 0,167)</t>
  </si>
  <si>
    <t>(0,587; 0,519; 0,117)</t>
  </si>
  <si>
    <t>(0,402; 0,684; 0,213)</t>
  </si>
  <si>
    <t>(0,667; 0,394; 0,189)</t>
  </si>
  <si>
    <t>(0,694; 0,34; 0,282)</t>
  </si>
  <si>
    <t>(0,694; 0,341; 0,282)</t>
  </si>
  <si>
    <t>(0,586; 0,519; 0,117)</t>
  </si>
  <si>
    <t>(0,776; 0,228; 0,242)</t>
  </si>
  <si>
    <t>(0,539; 0,52; 0,263)</t>
  </si>
  <si>
    <t>MAX</t>
  </si>
  <si>
    <t>MIN</t>
  </si>
  <si>
    <t>AVE</t>
  </si>
  <si>
    <t>2,3,5,</t>
  </si>
  <si>
    <t>1,4,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</si>
</sst>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rgb="FFFFFFFF"/>
      <name val="Times New Roman"/>
      <family val="1"/>
    </font>
    <font>
      <sz val="14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FF0000"/>
      <name val="Times New Roman"/>
      <family val="1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0" fillId="0" borderId="1" xfId="0" applyBorder="1"/>
    <xf numFmtId="0" fontId="3" fillId="0" borderId="1" xfId="0" applyFont="1" applyBorder="1"/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6" fillId="2" borderId="1" xfId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8" borderId="0" xfId="0" applyFill="1" applyAlignment="1">
      <alignment horizontal="center"/>
    </xf>
    <xf numFmtId="0" fontId="5" fillId="4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7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8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6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7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8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99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0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105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Sheet3!$E$62</c:f>
              <c:strCache>
                <c:ptCount val="1"/>
                <c:pt idx="0">
                  <c:v>Dependence Power</c:v>
                </c:pt>
              </c:strCache>
            </c:strRef>
          </c:tx>
          <c:spPr>
            <a:ln w="25400" cap="flat" cmpd="dbl" algn="ctr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Sheet3!$D$63:$D$77</c:f>
              <c:numCache>
                <c:formatCode>General</c:formatCode>
                <c:ptCount val="15"/>
                <c:pt idx="0">
                  <c:v>15</c:v>
                </c:pt>
                <c:pt idx="1">
                  <c:v>11</c:v>
                </c:pt>
                <c:pt idx="2">
                  <c:v>11</c:v>
                </c:pt>
                <c:pt idx="3">
                  <c:v>10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2</c:v>
                </c:pt>
                <c:pt idx="14">
                  <c:v>1</c:v>
                </c:pt>
              </c:numCache>
            </c:numRef>
          </c:xVal>
          <c:yVal>
            <c:numRef>
              <c:f>Sheet3!$E$63:$E$77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13</c:v>
                </c:pt>
                <c:pt idx="4">
                  <c:v>2</c:v>
                </c:pt>
                <c:pt idx="5">
                  <c:v>13</c:v>
                </c:pt>
                <c:pt idx="6">
                  <c:v>13</c:v>
                </c:pt>
                <c:pt idx="7">
                  <c:v>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AA-432F-8F91-241641F4ED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2063328"/>
        <c:axId val="392061168"/>
      </c:scatterChart>
      <c:valAx>
        <c:axId val="39206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1168"/>
        <c:crosses val="autoZero"/>
        <c:crossBetween val="midCat"/>
      </c:valAx>
      <c:valAx>
        <c:axId val="3920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6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Sheet3!$D$63:$D$77</c:f>
              <c:numCache>
                <c:formatCode>General</c:formatCode>
                <c:ptCount val="15"/>
                <c:pt idx="0">
                  <c:v>15</c:v>
                </c:pt>
                <c:pt idx="1">
                  <c:v>11</c:v>
                </c:pt>
                <c:pt idx="2">
                  <c:v>11</c:v>
                </c:pt>
                <c:pt idx="3">
                  <c:v>10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2</c:v>
                </c:pt>
                <c:pt idx="14">
                  <c:v>1</c:v>
                </c:pt>
              </c:numCache>
            </c:numRef>
          </c:xVal>
          <c:yVal>
            <c:numRef>
              <c:f>Sheet3!$E$63:$E$77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13</c:v>
                </c:pt>
                <c:pt idx="4">
                  <c:v>2</c:v>
                </c:pt>
                <c:pt idx="5">
                  <c:v>13</c:v>
                </c:pt>
                <c:pt idx="6">
                  <c:v>13</c:v>
                </c:pt>
                <c:pt idx="7">
                  <c:v>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3-40AC-B03C-D7BF9E65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75160"/>
        <c:axId val="487875520"/>
      </c:scatterChart>
      <c:valAx>
        <c:axId val="48787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5520"/>
        <c:crosses val="autoZero"/>
        <c:crossBetween val="midCat"/>
      </c:valAx>
      <c:valAx>
        <c:axId val="4878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26" Type="http://schemas.openxmlformats.org/officeDocument/2006/relationships/image" Target="../media/image16.emf"/><Relationship Id="rId3" Type="http://schemas.openxmlformats.org/officeDocument/2006/relationships/image" Target="../media/image14.emf"/><Relationship Id="rId21" Type="http://schemas.openxmlformats.org/officeDocument/2006/relationships/image" Target="../media/image22.emf"/><Relationship Id="rId7" Type="http://schemas.openxmlformats.org/officeDocument/2006/relationships/image" Target="../media/image3.emf"/><Relationship Id="rId12" Type="http://schemas.openxmlformats.org/officeDocument/2006/relationships/image" Target="../media/image30.emf"/><Relationship Id="rId17" Type="http://schemas.openxmlformats.org/officeDocument/2006/relationships/image" Target="../media/image12.emf"/><Relationship Id="rId25" Type="http://schemas.openxmlformats.org/officeDocument/2006/relationships/image" Target="../media/image17.emf"/><Relationship Id="rId2" Type="http://schemas.openxmlformats.org/officeDocument/2006/relationships/image" Target="../media/image13.emf"/><Relationship Id="rId16" Type="http://schemas.openxmlformats.org/officeDocument/2006/relationships/image" Target="../media/image25.emf"/><Relationship Id="rId20" Type="http://schemas.openxmlformats.org/officeDocument/2006/relationships/image" Target="../media/image23.emf"/><Relationship Id="rId29" Type="http://schemas.openxmlformats.org/officeDocument/2006/relationships/image" Target="../media/image7.emf"/><Relationship Id="rId1" Type="http://schemas.openxmlformats.org/officeDocument/2006/relationships/image" Target="../media/image32.emf"/><Relationship Id="rId6" Type="http://schemas.openxmlformats.org/officeDocument/2006/relationships/image" Target="../media/image11.emf"/><Relationship Id="rId11" Type="http://schemas.openxmlformats.org/officeDocument/2006/relationships/image" Target="../media/image31.emf"/><Relationship Id="rId24" Type="http://schemas.openxmlformats.org/officeDocument/2006/relationships/image" Target="../media/image19.emf"/><Relationship Id="rId32" Type="http://schemas.openxmlformats.org/officeDocument/2006/relationships/image" Target="../media/image1.emf"/><Relationship Id="rId5" Type="http://schemas.openxmlformats.org/officeDocument/2006/relationships/image" Target="../media/image10.emf"/><Relationship Id="rId15" Type="http://schemas.openxmlformats.org/officeDocument/2006/relationships/image" Target="../media/image26.emf"/><Relationship Id="rId23" Type="http://schemas.openxmlformats.org/officeDocument/2006/relationships/image" Target="../media/image20.emf"/><Relationship Id="rId28" Type="http://schemas.openxmlformats.org/officeDocument/2006/relationships/image" Target="../media/image8.emf"/><Relationship Id="rId10" Type="http://schemas.openxmlformats.org/officeDocument/2006/relationships/image" Target="../media/image21.emf"/><Relationship Id="rId19" Type="http://schemas.openxmlformats.org/officeDocument/2006/relationships/image" Target="../media/image18.emf"/><Relationship Id="rId31" Type="http://schemas.openxmlformats.org/officeDocument/2006/relationships/image" Target="../media/image4.emf"/><Relationship Id="rId4" Type="http://schemas.openxmlformats.org/officeDocument/2006/relationships/image" Target="../media/image2.emf"/><Relationship Id="rId9" Type="http://schemas.openxmlformats.org/officeDocument/2006/relationships/image" Target="../media/image28.emf"/><Relationship Id="rId14" Type="http://schemas.openxmlformats.org/officeDocument/2006/relationships/image" Target="../media/image27.emf"/><Relationship Id="rId22" Type="http://schemas.openxmlformats.org/officeDocument/2006/relationships/image" Target="../media/image5.emf"/><Relationship Id="rId27" Type="http://schemas.openxmlformats.org/officeDocument/2006/relationships/image" Target="../media/image9.emf"/><Relationship Id="rId30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129540</xdr:colOff>
          <xdr:row>4</xdr:row>
          <xdr:rowOff>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129540</xdr:colOff>
          <xdr:row>4</xdr:row>
          <xdr:rowOff>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129540</xdr:colOff>
          <xdr:row>4</xdr:row>
          <xdr:rowOff>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129540</xdr:colOff>
          <xdr:row>4</xdr:row>
          <xdr:rowOff>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129540</xdr:colOff>
          <xdr:row>4</xdr:row>
          <xdr:rowOff>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129540</xdr:colOff>
          <xdr:row>4</xdr:row>
          <xdr:rowOff>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129540</xdr:colOff>
          <xdr:row>4</xdr:row>
          <xdr:rowOff>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129540</xdr:colOff>
          <xdr:row>4</xdr:row>
          <xdr:rowOff>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129540</xdr:colOff>
          <xdr:row>4</xdr:row>
          <xdr:rowOff>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129540</xdr:colOff>
          <xdr:row>4</xdr:row>
          <xdr:rowOff>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129540</xdr:colOff>
          <xdr:row>4</xdr:row>
          <xdr:rowOff>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129540</xdr:colOff>
          <xdr:row>4</xdr:row>
          <xdr:rowOff>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129540</xdr:colOff>
          <xdr:row>4</xdr:row>
          <xdr:rowOff>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129540</xdr:colOff>
          <xdr:row>4</xdr:row>
          <xdr:rowOff>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129540</xdr:colOff>
          <xdr:row>5</xdr:row>
          <xdr:rowOff>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129540</xdr:colOff>
          <xdr:row>5</xdr:row>
          <xdr:rowOff>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129540</xdr:colOff>
          <xdr:row>5</xdr:row>
          <xdr:rowOff>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129540</xdr:colOff>
          <xdr:row>5</xdr:row>
          <xdr:rowOff>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129540</xdr:colOff>
          <xdr:row>5</xdr:row>
          <xdr:rowOff>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129540</xdr:colOff>
          <xdr:row>5</xdr:row>
          <xdr:rowOff>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129540</xdr:colOff>
          <xdr:row>5</xdr:row>
          <xdr:rowOff>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129540</xdr:colOff>
          <xdr:row>5</xdr:row>
          <xdr:rowOff>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129540</xdr:colOff>
          <xdr:row>5</xdr:row>
          <xdr:rowOff>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129540</xdr:colOff>
          <xdr:row>5</xdr:row>
          <xdr:rowOff>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129540</xdr:colOff>
          <xdr:row>5</xdr:row>
          <xdr:rowOff>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129540</xdr:colOff>
          <xdr:row>5</xdr:row>
          <xdr:rowOff>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129540</xdr:colOff>
          <xdr:row>5</xdr:row>
          <xdr:rowOff>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129540</xdr:colOff>
          <xdr:row>6</xdr:row>
          <xdr:rowOff>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129540</xdr:colOff>
          <xdr:row>6</xdr:row>
          <xdr:rowOff>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129540</xdr:colOff>
          <xdr:row>6</xdr:row>
          <xdr:rowOff>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129540</xdr:colOff>
          <xdr:row>6</xdr:row>
          <xdr:rowOff>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129540</xdr:colOff>
          <xdr:row>6</xdr:row>
          <xdr:rowOff>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129540</xdr:colOff>
          <xdr:row>6</xdr:row>
          <xdr:rowOff>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129540</xdr:colOff>
          <xdr:row>6</xdr:row>
          <xdr:rowOff>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129540</xdr:colOff>
          <xdr:row>6</xdr:row>
          <xdr:rowOff>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129540</xdr:colOff>
          <xdr:row>6</xdr:row>
          <xdr:rowOff>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129540</xdr:colOff>
          <xdr:row>6</xdr:row>
          <xdr:rowOff>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129540</xdr:colOff>
          <xdr:row>6</xdr:row>
          <xdr:rowOff>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129540</xdr:colOff>
          <xdr:row>6</xdr:row>
          <xdr:rowOff>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129540</xdr:colOff>
          <xdr:row>7</xdr:row>
          <xdr:rowOff>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129540</xdr:colOff>
          <xdr:row>7</xdr:row>
          <xdr:rowOff>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129540</xdr:colOff>
          <xdr:row>7</xdr:row>
          <xdr:rowOff>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129540</xdr:colOff>
          <xdr:row>7</xdr:row>
          <xdr:rowOff>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129540</xdr:colOff>
          <xdr:row>7</xdr:row>
          <xdr:rowOff>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129540</xdr:colOff>
          <xdr:row>7</xdr:row>
          <xdr:rowOff>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129540</xdr:colOff>
          <xdr:row>7</xdr:row>
          <xdr:rowOff>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129540</xdr:colOff>
          <xdr:row>7</xdr:row>
          <xdr:rowOff>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129540</xdr:colOff>
          <xdr:row>7</xdr:row>
          <xdr:rowOff>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129540</xdr:colOff>
          <xdr:row>7</xdr:row>
          <xdr:rowOff>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129540</xdr:colOff>
          <xdr:row>7</xdr:row>
          <xdr:rowOff>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129540</xdr:colOff>
          <xdr:row>8</xdr:row>
          <xdr:rowOff>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129540</xdr:colOff>
          <xdr:row>8</xdr:row>
          <xdr:rowOff>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129540</xdr:colOff>
          <xdr:row>8</xdr:row>
          <xdr:rowOff>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129540</xdr:colOff>
          <xdr:row>8</xdr:row>
          <xdr:rowOff>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129540</xdr:colOff>
          <xdr:row>8</xdr:row>
          <xdr:rowOff>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129540</xdr:colOff>
          <xdr:row>8</xdr:row>
          <xdr:rowOff>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129540</xdr:colOff>
          <xdr:row>8</xdr:row>
          <xdr:rowOff>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129540</xdr:colOff>
          <xdr:row>8</xdr:row>
          <xdr:rowOff>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129540</xdr:colOff>
          <xdr:row>8</xdr:row>
          <xdr:rowOff>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129540</xdr:colOff>
          <xdr:row>8</xdr:row>
          <xdr:rowOff>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129540</xdr:colOff>
          <xdr:row>9</xdr:row>
          <xdr:rowOff>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129540</xdr:colOff>
          <xdr:row>9</xdr:row>
          <xdr:rowOff>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129540</xdr:colOff>
          <xdr:row>9</xdr:row>
          <xdr:rowOff>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129540</xdr:colOff>
          <xdr:row>9</xdr:row>
          <xdr:rowOff>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129540</xdr:colOff>
          <xdr:row>9</xdr:row>
          <xdr:rowOff>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129540</xdr:colOff>
          <xdr:row>9</xdr:row>
          <xdr:rowOff>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129540</xdr:colOff>
          <xdr:row>9</xdr:row>
          <xdr:rowOff>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129540</xdr:colOff>
          <xdr:row>9</xdr:row>
          <xdr:rowOff>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129540</xdr:colOff>
          <xdr:row>9</xdr:row>
          <xdr:rowOff>0</xdr:rowOff>
        </xdr:to>
        <xdr:sp macro="" textlink="">
          <xdr:nvSpPr>
            <xdr:cNvPr id="1093" name="Contro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129540</xdr:colOff>
          <xdr:row>10</xdr:row>
          <xdr:rowOff>0</xdr:rowOff>
        </xdr:to>
        <xdr:sp macro="" textlink="">
          <xdr:nvSpPr>
            <xdr:cNvPr id="1094" name="Control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129540</xdr:colOff>
          <xdr:row>10</xdr:row>
          <xdr:rowOff>0</xdr:rowOff>
        </xdr:to>
        <xdr:sp macro="" textlink="">
          <xdr:nvSpPr>
            <xdr:cNvPr id="1095" name="Contro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129540</xdr:colOff>
          <xdr:row>10</xdr:row>
          <xdr:rowOff>0</xdr:rowOff>
        </xdr:to>
        <xdr:sp macro="" textlink="">
          <xdr:nvSpPr>
            <xdr:cNvPr id="1096" name="Contro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129540</xdr:colOff>
          <xdr:row>10</xdr:row>
          <xdr:rowOff>0</xdr:rowOff>
        </xdr:to>
        <xdr:sp macro="" textlink="">
          <xdr:nvSpPr>
            <xdr:cNvPr id="1097" name="Contro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129540</xdr:colOff>
          <xdr:row>10</xdr:row>
          <xdr:rowOff>0</xdr:rowOff>
        </xdr:to>
        <xdr:sp macro="" textlink="">
          <xdr:nvSpPr>
            <xdr:cNvPr id="1098" name="Control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129540</xdr:colOff>
          <xdr:row>10</xdr:row>
          <xdr:rowOff>0</xdr:rowOff>
        </xdr:to>
        <xdr:sp macro="" textlink="">
          <xdr:nvSpPr>
            <xdr:cNvPr id="1099" name="Control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129540</xdr:colOff>
          <xdr:row>10</xdr:row>
          <xdr:rowOff>0</xdr:rowOff>
        </xdr:to>
        <xdr:sp macro="" textlink="">
          <xdr:nvSpPr>
            <xdr:cNvPr id="1100" name="Control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129540</xdr:colOff>
          <xdr:row>10</xdr:row>
          <xdr:rowOff>0</xdr:rowOff>
        </xdr:to>
        <xdr:sp macro="" textlink="">
          <xdr:nvSpPr>
            <xdr:cNvPr id="1101" name="Control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129540</xdr:colOff>
          <xdr:row>11</xdr:row>
          <xdr:rowOff>0</xdr:rowOff>
        </xdr:to>
        <xdr:sp macro="" textlink="">
          <xdr:nvSpPr>
            <xdr:cNvPr id="1102" name="Control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129540</xdr:colOff>
          <xdr:row>11</xdr:row>
          <xdr:rowOff>0</xdr:rowOff>
        </xdr:to>
        <xdr:sp macro="" textlink="">
          <xdr:nvSpPr>
            <xdr:cNvPr id="1103" name="Control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129540</xdr:colOff>
          <xdr:row>11</xdr:row>
          <xdr:rowOff>0</xdr:rowOff>
        </xdr:to>
        <xdr:sp macro="" textlink="">
          <xdr:nvSpPr>
            <xdr:cNvPr id="1104" name="Control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129540</xdr:colOff>
          <xdr:row>11</xdr:row>
          <xdr:rowOff>0</xdr:rowOff>
        </xdr:to>
        <xdr:sp macro="" textlink="">
          <xdr:nvSpPr>
            <xdr:cNvPr id="1105" name="Control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129540</xdr:colOff>
          <xdr:row>11</xdr:row>
          <xdr:rowOff>0</xdr:rowOff>
        </xdr:to>
        <xdr:sp macro="" textlink="">
          <xdr:nvSpPr>
            <xdr:cNvPr id="1106" name="Control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129540</xdr:colOff>
          <xdr:row>11</xdr:row>
          <xdr:rowOff>0</xdr:rowOff>
        </xdr:to>
        <xdr:sp macro="" textlink="">
          <xdr:nvSpPr>
            <xdr:cNvPr id="1107" name="Control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129540</xdr:colOff>
          <xdr:row>11</xdr:row>
          <xdr:rowOff>0</xdr:rowOff>
        </xdr:to>
        <xdr:sp macro="" textlink="">
          <xdr:nvSpPr>
            <xdr:cNvPr id="1108" name="Control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129540</xdr:colOff>
          <xdr:row>12</xdr:row>
          <xdr:rowOff>0</xdr:rowOff>
        </xdr:to>
        <xdr:sp macro="" textlink="">
          <xdr:nvSpPr>
            <xdr:cNvPr id="1109" name="Control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129540</xdr:colOff>
          <xdr:row>12</xdr:row>
          <xdr:rowOff>0</xdr:rowOff>
        </xdr:to>
        <xdr:sp macro="" textlink="">
          <xdr:nvSpPr>
            <xdr:cNvPr id="1110" name="Control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129540</xdr:colOff>
          <xdr:row>12</xdr:row>
          <xdr:rowOff>0</xdr:rowOff>
        </xdr:to>
        <xdr:sp macro="" textlink="">
          <xdr:nvSpPr>
            <xdr:cNvPr id="1111" name="Control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129540</xdr:colOff>
          <xdr:row>12</xdr:row>
          <xdr:rowOff>0</xdr:rowOff>
        </xdr:to>
        <xdr:sp macro="" textlink="">
          <xdr:nvSpPr>
            <xdr:cNvPr id="1112" name="Control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129540</xdr:colOff>
          <xdr:row>12</xdr:row>
          <xdr:rowOff>0</xdr:rowOff>
        </xdr:to>
        <xdr:sp macro="" textlink="">
          <xdr:nvSpPr>
            <xdr:cNvPr id="1113" name="Control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129540</xdr:colOff>
          <xdr:row>12</xdr:row>
          <xdr:rowOff>0</xdr:rowOff>
        </xdr:to>
        <xdr:sp macro="" textlink="">
          <xdr:nvSpPr>
            <xdr:cNvPr id="1114" name="Control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129540</xdr:colOff>
          <xdr:row>13</xdr:row>
          <xdr:rowOff>0</xdr:rowOff>
        </xdr:to>
        <xdr:sp macro="" textlink="">
          <xdr:nvSpPr>
            <xdr:cNvPr id="1115" name="Contro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129540</xdr:colOff>
          <xdr:row>13</xdr:row>
          <xdr:rowOff>0</xdr:rowOff>
        </xdr:to>
        <xdr:sp macro="" textlink="">
          <xdr:nvSpPr>
            <xdr:cNvPr id="1116" name="Control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129540</xdr:colOff>
          <xdr:row>13</xdr:row>
          <xdr:rowOff>0</xdr:rowOff>
        </xdr:to>
        <xdr:sp macro="" textlink="">
          <xdr:nvSpPr>
            <xdr:cNvPr id="1117" name="Control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129540</xdr:colOff>
          <xdr:row>13</xdr:row>
          <xdr:rowOff>0</xdr:rowOff>
        </xdr:to>
        <xdr:sp macro="" textlink="">
          <xdr:nvSpPr>
            <xdr:cNvPr id="1118" name="Control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129540</xdr:colOff>
          <xdr:row>13</xdr:row>
          <xdr:rowOff>0</xdr:rowOff>
        </xdr:to>
        <xdr:sp macro="" textlink="">
          <xdr:nvSpPr>
            <xdr:cNvPr id="1119" name="Control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129540</xdr:colOff>
          <xdr:row>14</xdr:row>
          <xdr:rowOff>0</xdr:rowOff>
        </xdr:to>
        <xdr:sp macro="" textlink="">
          <xdr:nvSpPr>
            <xdr:cNvPr id="1120" name="Control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129540</xdr:colOff>
          <xdr:row>14</xdr:row>
          <xdr:rowOff>0</xdr:rowOff>
        </xdr:to>
        <xdr:sp macro="" textlink="">
          <xdr:nvSpPr>
            <xdr:cNvPr id="1121" name="Control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129540</xdr:colOff>
          <xdr:row>14</xdr:row>
          <xdr:rowOff>0</xdr:rowOff>
        </xdr:to>
        <xdr:sp macro="" textlink="">
          <xdr:nvSpPr>
            <xdr:cNvPr id="1122" name="Control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129540</xdr:colOff>
          <xdr:row>14</xdr:row>
          <xdr:rowOff>0</xdr:rowOff>
        </xdr:to>
        <xdr:sp macro="" textlink="">
          <xdr:nvSpPr>
            <xdr:cNvPr id="1123" name="Control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129540</xdr:colOff>
          <xdr:row>15</xdr:row>
          <xdr:rowOff>0</xdr:rowOff>
        </xdr:to>
        <xdr:sp macro="" textlink="">
          <xdr:nvSpPr>
            <xdr:cNvPr id="1124" name="Control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129540</xdr:colOff>
          <xdr:row>15</xdr:row>
          <xdr:rowOff>0</xdr:rowOff>
        </xdr:to>
        <xdr:sp macro="" textlink="">
          <xdr:nvSpPr>
            <xdr:cNvPr id="1125" name="Control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129540</xdr:colOff>
          <xdr:row>15</xdr:row>
          <xdr:rowOff>0</xdr:rowOff>
        </xdr:to>
        <xdr:sp macro="" textlink="">
          <xdr:nvSpPr>
            <xdr:cNvPr id="1126" name="Control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129540</xdr:colOff>
          <xdr:row>16</xdr:row>
          <xdr:rowOff>0</xdr:rowOff>
        </xdr:to>
        <xdr:sp macro="" textlink="">
          <xdr:nvSpPr>
            <xdr:cNvPr id="1127" name="Control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129540</xdr:colOff>
          <xdr:row>16</xdr:row>
          <xdr:rowOff>0</xdr:rowOff>
        </xdr:to>
        <xdr:sp macro="" textlink="">
          <xdr:nvSpPr>
            <xdr:cNvPr id="1128" name="Control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129540</xdr:colOff>
          <xdr:row>17</xdr:row>
          <xdr:rowOff>0</xdr:rowOff>
        </xdr:to>
        <xdr:sp macro="" textlink="">
          <xdr:nvSpPr>
            <xdr:cNvPr id="1129" name="Control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3663</xdr:colOff>
      <xdr:row>61</xdr:row>
      <xdr:rowOff>291612</xdr:rowOff>
    </xdr:from>
    <xdr:to>
      <xdr:col>14</xdr:col>
      <xdr:colOff>318721</xdr:colOff>
      <xdr:row>76</xdr:row>
      <xdr:rowOff>8792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21FBF7-979C-5F75-A3DD-1006351CD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490904</xdr:colOff>
      <xdr:row>61</xdr:row>
      <xdr:rowOff>306266</xdr:rowOff>
    </xdr:from>
    <xdr:to>
      <xdr:col>22</xdr:col>
      <xdr:colOff>197827</xdr:colOff>
      <xdr:row>76</xdr:row>
      <xdr:rowOff>23446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EA24D7-630D-92A2-7A19-EAEF770A1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0.11939</cdr:x>
      <cdr:y>0.4359</cdr:y>
    </cdr:from>
    <cdr:to>
      <cdr:x>0.95753</cdr:x>
      <cdr:y>0.43857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C7E17E73-10EE-747C-5C20-EB9B39EE98AA}"/>
            </a:ext>
          </a:extLst>
        </cdr:cNvPr>
        <cdr:cNvCxnSpPr/>
      </cdr:nvCxnSpPr>
      <cdr:spPr>
        <a:xfrm xmlns:a="http://schemas.openxmlformats.org/drawingml/2006/main">
          <a:off x="545856" y="1195754"/>
          <a:ext cx="3831981" cy="732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0.41426</cdr:x>
      <cdr:y>0.18216</cdr:y>
    </cdr:from>
    <cdr:to>
      <cdr:x>0.41747</cdr:x>
      <cdr:y>0.80182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94DCC9F9-890A-A3E6-36AF-86DB4EDD0D7E}"/>
            </a:ext>
          </a:extLst>
        </cdr:cNvPr>
        <cdr:cNvCxnSpPr/>
      </cdr:nvCxnSpPr>
      <cdr:spPr>
        <a:xfrm xmlns:a="http://schemas.openxmlformats.org/drawingml/2006/main">
          <a:off x="1894010" y="499696"/>
          <a:ext cx="14654" cy="169984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81</xdr:row>
      <xdr:rowOff>0</xdr:rowOff>
    </xdr:from>
    <xdr:to>
      <xdr:col>9</xdr:col>
      <xdr:colOff>450998</xdr:colOff>
      <xdr:row>115</xdr:row>
      <xdr:rowOff>77115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1889D3-6577-5BD9-B1E5-4921CB4B1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676327"/>
          <a:ext cx="6554115" cy="65541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180</xdr:row>
      <xdr:rowOff>0</xdr:rowOff>
    </xdr:from>
    <xdr:to>
      <xdr:col>9</xdr:col>
      <xdr:colOff>383931</xdr:colOff>
      <xdr:row>208</xdr:row>
      <xdr:rowOff>153166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06CE6E-FE50-C619-F299-C3F08E127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135" y="54739442"/>
          <a:ext cx="5249008" cy="54871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180</xdr:row>
      <xdr:rowOff>0</xdr:rowOff>
    </xdr:from>
    <xdr:to>
      <xdr:col>20</xdr:col>
      <xdr:colOff>536352</xdr:colOff>
      <xdr:row>209</xdr:row>
      <xdr:rowOff>57929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A67F63-9DE8-A4A2-62B4-FF92A7EFE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97615" y="54739442"/>
          <a:ext cx="5401429" cy="5582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373380</xdr:colOff>
      <xdr:row>0</xdr:row>
      <xdr:rowOff>60960</xdr:rowOff>
    </xdr:from>
    <xdr:to>
      <xdr:col>23</xdr:col>
      <xdr:colOff>426989</xdr:colOff>
      <xdr:row>10</xdr:row>
      <xdr:rowOff>61118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E82F22-BBB4-E9B9-70DC-C800685DC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1440" y="60960"/>
          <a:ext cx="3101609" cy="18289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AppData\Roaming\Microsoft\AddIns\Code-Spherical.xla" TargetMode="External"/><Relationship Id="rId1" Type="http://schemas.openxmlformats.org/officeDocument/2006/relationships/externalLinkPath" Target="file:///C:\Users\Admin\AppData\Roaming\Microsoft\AddIns\Code-Spherica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Aggregate AMM"/>
      <sheetName val="Aggregate AGM"/>
      <sheetName val="Ans1"/>
      <sheetName val="Ans2"/>
      <sheetName val="Ans3"/>
    </sheetNames>
    <definedNames>
      <definedName name="SPFDEF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84.xml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5.xml"/><Relationship Id="rId63" Type="http://schemas.openxmlformats.org/officeDocument/2006/relationships/control" Target="../activeX/activeX42.xml"/><Relationship Id="rId84" Type="http://schemas.openxmlformats.org/officeDocument/2006/relationships/control" Target="../activeX/activeX59.xml"/><Relationship Id="rId138" Type="http://schemas.openxmlformats.org/officeDocument/2006/relationships/control" Target="../activeX/activeX105.xml"/><Relationship Id="rId16" Type="http://schemas.openxmlformats.org/officeDocument/2006/relationships/image" Target="../media/image6.emf"/><Relationship Id="rId107" Type="http://schemas.openxmlformats.org/officeDocument/2006/relationships/image" Target="../media/image29.emf"/><Relationship Id="rId11" Type="http://schemas.openxmlformats.org/officeDocument/2006/relationships/control" Target="../activeX/activeX5.xml"/><Relationship Id="rId32" Type="http://schemas.openxmlformats.org/officeDocument/2006/relationships/control" Target="../activeX/activeX18.xml"/><Relationship Id="rId37" Type="http://schemas.openxmlformats.org/officeDocument/2006/relationships/control" Target="../activeX/activeX22.xml"/><Relationship Id="rId53" Type="http://schemas.openxmlformats.org/officeDocument/2006/relationships/image" Target="../media/image17.emf"/><Relationship Id="rId58" Type="http://schemas.openxmlformats.org/officeDocument/2006/relationships/control" Target="../activeX/activeX38.xml"/><Relationship Id="rId74" Type="http://schemas.openxmlformats.org/officeDocument/2006/relationships/control" Target="../activeX/activeX51.xml"/><Relationship Id="rId79" Type="http://schemas.openxmlformats.org/officeDocument/2006/relationships/control" Target="../activeX/activeX56.xml"/><Relationship Id="rId102" Type="http://schemas.openxmlformats.org/officeDocument/2006/relationships/control" Target="../activeX/activeX72.xml"/><Relationship Id="rId123" Type="http://schemas.openxmlformats.org/officeDocument/2006/relationships/control" Target="../activeX/activeX90.xml"/><Relationship Id="rId128" Type="http://schemas.openxmlformats.org/officeDocument/2006/relationships/control" Target="../activeX/activeX95.xml"/><Relationship Id="rId5" Type="http://schemas.openxmlformats.org/officeDocument/2006/relationships/control" Target="../activeX/activeX2.xml"/><Relationship Id="rId90" Type="http://schemas.openxmlformats.org/officeDocument/2006/relationships/control" Target="../activeX/activeX64.xml"/><Relationship Id="rId95" Type="http://schemas.openxmlformats.org/officeDocument/2006/relationships/control" Target="../activeX/activeX68.xml"/><Relationship Id="rId22" Type="http://schemas.openxmlformats.org/officeDocument/2006/relationships/control" Target="../activeX/activeX12.xml"/><Relationship Id="rId27" Type="http://schemas.openxmlformats.org/officeDocument/2006/relationships/image" Target="../media/image10.emf"/><Relationship Id="rId43" Type="http://schemas.openxmlformats.org/officeDocument/2006/relationships/control" Target="../activeX/activeX26.xml"/><Relationship Id="rId48" Type="http://schemas.openxmlformats.org/officeDocument/2006/relationships/control" Target="../activeX/activeX30.xml"/><Relationship Id="rId64" Type="http://schemas.openxmlformats.org/officeDocument/2006/relationships/image" Target="../media/image2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30.emf"/><Relationship Id="rId118" Type="http://schemas.openxmlformats.org/officeDocument/2006/relationships/control" Target="../activeX/activeX85.xml"/><Relationship Id="rId134" Type="http://schemas.openxmlformats.org/officeDocument/2006/relationships/control" Target="../activeX/activeX101.xml"/><Relationship Id="rId139" Type="http://schemas.openxmlformats.org/officeDocument/2006/relationships/image" Target="../media/image32.emf"/><Relationship Id="rId80" Type="http://schemas.openxmlformats.org/officeDocument/2006/relationships/image" Target="../media/image22.emf"/><Relationship Id="rId85" Type="http://schemas.openxmlformats.org/officeDocument/2006/relationships/image" Target="../media/image24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33" Type="http://schemas.openxmlformats.org/officeDocument/2006/relationships/control" Target="../activeX/activeX19.xml"/><Relationship Id="rId38" Type="http://schemas.openxmlformats.org/officeDocument/2006/relationships/image" Target="../media/image14.emf"/><Relationship Id="rId59" Type="http://schemas.openxmlformats.org/officeDocument/2006/relationships/control" Target="../activeX/activeX39.xml"/><Relationship Id="rId103" Type="http://schemas.openxmlformats.org/officeDocument/2006/relationships/control" Target="../activeX/activeX73.xml"/><Relationship Id="rId108" Type="http://schemas.openxmlformats.org/officeDocument/2006/relationships/control" Target="../activeX/activeX77.xml"/><Relationship Id="rId124" Type="http://schemas.openxmlformats.org/officeDocument/2006/relationships/control" Target="../activeX/activeX91.xml"/><Relationship Id="rId129" Type="http://schemas.openxmlformats.org/officeDocument/2006/relationships/control" Target="../activeX/activeX96.xml"/><Relationship Id="rId54" Type="http://schemas.openxmlformats.org/officeDocument/2006/relationships/control" Target="../activeX/activeX35.xml"/><Relationship Id="rId70" Type="http://schemas.openxmlformats.org/officeDocument/2006/relationships/image" Target="../media/image21.emf"/><Relationship Id="rId75" Type="http://schemas.openxmlformats.org/officeDocument/2006/relationships/control" Target="../activeX/activeX52.xml"/><Relationship Id="rId91" Type="http://schemas.openxmlformats.org/officeDocument/2006/relationships/control" Target="../activeX/activeX65.xml"/><Relationship Id="rId96" Type="http://schemas.openxmlformats.org/officeDocument/2006/relationships/image" Target="../media/image26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23" Type="http://schemas.openxmlformats.org/officeDocument/2006/relationships/image" Target="../media/image9.emf"/><Relationship Id="rId28" Type="http://schemas.openxmlformats.org/officeDocument/2006/relationships/control" Target="../activeX/activeX16.xml"/><Relationship Id="rId49" Type="http://schemas.openxmlformats.org/officeDocument/2006/relationships/control" Target="../activeX/activeX31.xml"/><Relationship Id="rId114" Type="http://schemas.openxmlformats.org/officeDocument/2006/relationships/control" Target="../activeX/activeX82.xml"/><Relationship Id="rId119" Type="http://schemas.openxmlformats.org/officeDocument/2006/relationships/control" Target="../activeX/activeX86.xml"/><Relationship Id="rId44" Type="http://schemas.openxmlformats.org/officeDocument/2006/relationships/control" Target="../activeX/activeX27.xml"/><Relationship Id="rId60" Type="http://schemas.openxmlformats.org/officeDocument/2006/relationships/control" Target="../activeX/activeX40.xml"/><Relationship Id="rId65" Type="http://schemas.openxmlformats.org/officeDocument/2006/relationships/control" Target="../activeX/activeX43.xml"/><Relationship Id="rId81" Type="http://schemas.openxmlformats.org/officeDocument/2006/relationships/control" Target="../activeX/activeX57.xml"/><Relationship Id="rId86" Type="http://schemas.openxmlformats.org/officeDocument/2006/relationships/control" Target="../activeX/activeX60.xml"/><Relationship Id="rId130" Type="http://schemas.openxmlformats.org/officeDocument/2006/relationships/control" Target="../activeX/activeX97.xml"/><Relationship Id="rId135" Type="http://schemas.openxmlformats.org/officeDocument/2006/relationships/control" Target="../activeX/activeX102.xml"/><Relationship Id="rId13" Type="http://schemas.openxmlformats.org/officeDocument/2006/relationships/control" Target="../activeX/activeX7.xml"/><Relationship Id="rId18" Type="http://schemas.openxmlformats.org/officeDocument/2006/relationships/image" Target="../media/image7.emf"/><Relationship Id="rId39" Type="http://schemas.openxmlformats.org/officeDocument/2006/relationships/control" Target="../activeX/activeX23.xml"/><Relationship Id="rId109" Type="http://schemas.openxmlformats.org/officeDocument/2006/relationships/control" Target="../activeX/activeX78.xml"/><Relationship Id="rId34" Type="http://schemas.openxmlformats.org/officeDocument/2006/relationships/control" Target="../activeX/activeX20.xml"/><Relationship Id="rId50" Type="http://schemas.openxmlformats.org/officeDocument/2006/relationships/control" Target="../activeX/activeX32.xml"/><Relationship Id="rId55" Type="http://schemas.openxmlformats.org/officeDocument/2006/relationships/control" Target="../activeX/activeX36.xml"/><Relationship Id="rId76" Type="http://schemas.openxmlformats.org/officeDocument/2006/relationships/control" Target="../activeX/activeX53.xml"/><Relationship Id="rId97" Type="http://schemas.openxmlformats.org/officeDocument/2006/relationships/control" Target="../activeX/activeX69.xml"/><Relationship Id="rId104" Type="http://schemas.openxmlformats.org/officeDocument/2006/relationships/control" Target="../activeX/activeX74.xml"/><Relationship Id="rId120" Type="http://schemas.openxmlformats.org/officeDocument/2006/relationships/control" Target="../activeX/activeX87.xml"/><Relationship Id="rId125" Type="http://schemas.openxmlformats.org/officeDocument/2006/relationships/control" Target="../activeX/activeX92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6.xml"/><Relationship Id="rId2" Type="http://schemas.openxmlformats.org/officeDocument/2006/relationships/vmlDrawing" Target="../drawings/vmlDrawing1.vml"/><Relationship Id="rId29" Type="http://schemas.openxmlformats.org/officeDocument/2006/relationships/image" Target="../media/image11.emf"/><Relationship Id="rId24" Type="http://schemas.openxmlformats.org/officeDocument/2006/relationships/control" Target="../activeX/activeX13.xml"/><Relationship Id="rId40" Type="http://schemas.openxmlformats.org/officeDocument/2006/relationships/control" Target="../activeX/activeX24.xml"/><Relationship Id="rId45" Type="http://schemas.openxmlformats.org/officeDocument/2006/relationships/control" Target="../activeX/activeX28.xml"/><Relationship Id="rId66" Type="http://schemas.openxmlformats.org/officeDocument/2006/relationships/control" Target="../activeX/activeX44.xml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9.xml"/><Relationship Id="rId115" Type="http://schemas.openxmlformats.org/officeDocument/2006/relationships/image" Target="../media/image31.emf"/><Relationship Id="rId131" Type="http://schemas.openxmlformats.org/officeDocument/2006/relationships/control" Target="../activeX/activeX98.xml"/><Relationship Id="rId136" Type="http://schemas.openxmlformats.org/officeDocument/2006/relationships/control" Target="../activeX/activeX103.xml"/><Relationship Id="rId61" Type="http://schemas.openxmlformats.org/officeDocument/2006/relationships/image" Target="../media/image19.emf"/><Relationship Id="rId82" Type="http://schemas.openxmlformats.org/officeDocument/2006/relationships/image" Target="../media/image23.emf"/><Relationship Id="rId19" Type="http://schemas.openxmlformats.org/officeDocument/2006/relationships/control" Target="../activeX/activeX10.xml"/><Relationship Id="rId14" Type="http://schemas.openxmlformats.org/officeDocument/2006/relationships/image" Target="../media/image5.emf"/><Relationship Id="rId30" Type="http://schemas.openxmlformats.org/officeDocument/2006/relationships/control" Target="../activeX/activeX17.xml"/><Relationship Id="rId35" Type="http://schemas.openxmlformats.org/officeDocument/2006/relationships/control" Target="../activeX/activeX21.xml"/><Relationship Id="rId56" Type="http://schemas.openxmlformats.org/officeDocument/2006/relationships/control" Target="../activeX/activeX37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71.xml"/><Relationship Id="rId105" Type="http://schemas.openxmlformats.org/officeDocument/2006/relationships/control" Target="../activeX/activeX75.xml"/><Relationship Id="rId126" Type="http://schemas.openxmlformats.org/officeDocument/2006/relationships/control" Target="../activeX/activeX93.xml"/><Relationship Id="rId8" Type="http://schemas.openxmlformats.org/officeDocument/2006/relationships/image" Target="../media/image3.emf"/><Relationship Id="rId51" Type="http://schemas.openxmlformats.org/officeDocument/2006/relationships/control" Target="../activeX/activeX33.xml"/><Relationship Id="rId72" Type="http://schemas.openxmlformats.org/officeDocument/2006/relationships/control" Target="../activeX/activeX49.xml"/><Relationship Id="rId93" Type="http://schemas.openxmlformats.org/officeDocument/2006/relationships/image" Target="../media/image25.emf"/><Relationship Id="rId98" Type="http://schemas.openxmlformats.org/officeDocument/2006/relationships/control" Target="../activeX/activeX70.xml"/><Relationship Id="rId121" Type="http://schemas.openxmlformats.org/officeDocument/2006/relationships/control" Target="../activeX/activeX88.xml"/><Relationship Id="rId3" Type="http://schemas.openxmlformats.org/officeDocument/2006/relationships/control" Target="../activeX/activeX1.xml"/><Relationship Id="rId25" Type="http://schemas.openxmlformats.org/officeDocument/2006/relationships/control" Target="../activeX/activeX14.xml"/><Relationship Id="rId46" Type="http://schemas.openxmlformats.org/officeDocument/2006/relationships/control" Target="../activeX/activeX29.xml"/><Relationship Id="rId67" Type="http://schemas.openxmlformats.org/officeDocument/2006/relationships/control" Target="../activeX/activeX45.xml"/><Relationship Id="rId116" Type="http://schemas.openxmlformats.org/officeDocument/2006/relationships/control" Target="../activeX/activeX83.xml"/><Relationship Id="rId137" Type="http://schemas.openxmlformats.org/officeDocument/2006/relationships/control" Target="../activeX/activeX104.xml"/><Relationship Id="rId20" Type="http://schemas.openxmlformats.org/officeDocument/2006/relationships/image" Target="../media/image8.emf"/><Relationship Id="rId41" Type="http://schemas.openxmlformats.org/officeDocument/2006/relationships/image" Target="../media/image15.emf"/><Relationship Id="rId62" Type="http://schemas.openxmlformats.org/officeDocument/2006/relationships/control" Target="../activeX/activeX41.xml"/><Relationship Id="rId83" Type="http://schemas.openxmlformats.org/officeDocument/2006/relationships/control" Target="../activeX/activeX58.xml"/><Relationship Id="rId88" Type="http://schemas.openxmlformats.org/officeDocument/2006/relationships/control" Target="../activeX/activeX62.xml"/><Relationship Id="rId111" Type="http://schemas.openxmlformats.org/officeDocument/2006/relationships/control" Target="../activeX/activeX80.xml"/><Relationship Id="rId132" Type="http://schemas.openxmlformats.org/officeDocument/2006/relationships/control" Target="../activeX/activeX99.xml"/><Relationship Id="rId15" Type="http://schemas.openxmlformats.org/officeDocument/2006/relationships/control" Target="../activeX/activeX8.xml"/><Relationship Id="rId36" Type="http://schemas.openxmlformats.org/officeDocument/2006/relationships/image" Target="../media/image13.emf"/><Relationship Id="rId57" Type="http://schemas.openxmlformats.org/officeDocument/2006/relationships/image" Target="../media/image18.emf"/><Relationship Id="rId106" Type="http://schemas.openxmlformats.org/officeDocument/2006/relationships/control" Target="../activeX/activeX76.xml"/><Relationship Id="rId127" Type="http://schemas.openxmlformats.org/officeDocument/2006/relationships/control" Target="../activeX/activeX94.xml"/><Relationship Id="rId10" Type="http://schemas.openxmlformats.org/officeDocument/2006/relationships/image" Target="../media/image4.emf"/><Relationship Id="rId31" Type="http://schemas.openxmlformats.org/officeDocument/2006/relationships/image" Target="../media/image12.emf"/><Relationship Id="rId52" Type="http://schemas.openxmlformats.org/officeDocument/2006/relationships/control" Target="../activeX/activeX34.xml"/><Relationship Id="rId73" Type="http://schemas.openxmlformats.org/officeDocument/2006/relationships/control" Target="../activeX/activeX50.xml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7.xml"/><Relationship Id="rId99" Type="http://schemas.openxmlformats.org/officeDocument/2006/relationships/image" Target="../media/image27.emf"/><Relationship Id="rId101" Type="http://schemas.openxmlformats.org/officeDocument/2006/relationships/image" Target="../media/image28.emf"/><Relationship Id="rId122" Type="http://schemas.openxmlformats.org/officeDocument/2006/relationships/control" Target="../activeX/activeX8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26" Type="http://schemas.openxmlformats.org/officeDocument/2006/relationships/control" Target="../activeX/activeX15.xml"/><Relationship Id="rId47" Type="http://schemas.openxmlformats.org/officeDocument/2006/relationships/image" Target="../media/image16.emf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63.xml"/><Relationship Id="rId112" Type="http://schemas.openxmlformats.org/officeDocument/2006/relationships/control" Target="../activeX/activeX81.xml"/><Relationship Id="rId133" Type="http://schemas.openxmlformats.org/officeDocument/2006/relationships/control" Target="../activeX/activeX10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javascript:__doPostBack('ctl00$ContentPlaceHolder1$LPIG','Page$4')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javascript:__doPostBack('ctl00$ContentPlaceHolder1$LPIG','Page$3')" TargetMode="External"/><Relationship Id="rId1" Type="http://schemas.openxmlformats.org/officeDocument/2006/relationships/hyperlink" Target="javascript:__doPostBack('ctl00$ContentPlaceHolder1$LPIG','Page$2')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javascript:__doPostBack('ctl00$ContentPlaceHolder1$LPIG','Page$6')" TargetMode="External"/><Relationship Id="rId4" Type="http://schemas.openxmlformats.org/officeDocument/2006/relationships/hyperlink" Target="javascript:__doPostBack('ctl00$ContentPlaceHolder1$LPIG','Page$5')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EE139-1492-439C-9E53-F222B3A1D46B}">
  <sheetPr codeName="Sheet1"/>
  <dimension ref="A3:P18"/>
  <sheetViews>
    <sheetView workbookViewId="0">
      <selection activeCell="K26" sqref="K26"/>
    </sheetView>
  </sheetViews>
  <sheetFormatPr defaultRowHeight="14.4" x14ac:dyDescent="0.3"/>
  <sheetData>
    <row r="3" spans="1:16" ht="1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4"/>
    </row>
    <row r="4" spans="1:16" ht="18" x14ac:dyDescent="0.3">
      <c r="A4" s="3" t="s">
        <v>14</v>
      </c>
      <c r="B4" s="3" t="s">
        <v>15</v>
      </c>
      <c r="C4" s="3" t="s">
        <v>15</v>
      </c>
      <c r="D4" s="3" t="s">
        <v>15</v>
      </c>
      <c r="E4" s="3" t="s">
        <v>15</v>
      </c>
      <c r="F4" s="3" t="s">
        <v>15</v>
      </c>
      <c r="G4" s="3" t="s">
        <v>15</v>
      </c>
      <c r="H4" s="3" t="s">
        <v>15</v>
      </c>
      <c r="I4" s="3" t="s">
        <v>15</v>
      </c>
      <c r="J4" s="3" t="s">
        <v>15</v>
      </c>
      <c r="K4" s="3" t="s">
        <v>15</v>
      </c>
      <c r="L4" s="3" t="s">
        <v>15</v>
      </c>
      <c r="M4" s="3" t="s">
        <v>15</v>
      </c>
      <c r="N4" s="3" t="s">
        <v>15</v>
      </c>
      <c r="O4" s="3" t="s">
        <v>15</v>
      </c>
      <c r="P4" s="3"/>
    </row>
    <row r="5" spans="1:16" ht="18" x14ac:dyDescent="0.3">
      <c r="A5" s="3" t="s">
        <v>13</v>
      </c>
      <c r="B5" s="3" t="s">
        <v>15</v>
      </c>
      <c r="C5" s="3" t="s">
        <v>15</v>
      </c>
      <c r="D5" s="3" t="s">
        <v>15</v>
      </c>
      <c r="E5" s="3" t="s">
        <v>15</v>
      </c>
      <c r="F5" s="3" t="s">
        <v>15</v>
      </c>
      <c r="G5" s="3" t="s">
        <v>15</v>
      </c>
      <c r="H5" s="3" t="s">
        <v>15</v>
      </c>
      <c r="I5" s="3" t="s">
        <v>15</v>
      </c>
      <c r="J5" s="3" t="s">
        <v>15</v>
      </c>
      <c r="K5" s="3" t="s">
        <v>15</v>
      </c>
      <c r="L5" s="3" t="s">
        <v>15</v>
      </c>
      <c r="M5" s="3" t="s">
        <v>15</v>
      </c>
      <c r="N5" s="3" t="s">
        <v>15</v>
      </c>
      <c r="O5" s="3"/>
      <c r="P5" s="3"/>
    </row>
    <row r="6" spans="1:16" ht="18" x14ac:dyDescent="0.3">
      <c r="A6" s="3" t="s">
        <v>12</v>
      </c>
      <c r="B6" s="3" t="s">
        <v>15</v>
      </c>
      <c r="C6" s="3" t="s">
        <v>15</v>
      </c>
      <c r="D6" s="3" t="s">
        <v>15</v>
      </c>
      <c r="E6" s="3" t="s">
        <v>15</v>
      </c>
      <c r="F6" s="3" t="s">
        <v>15</v>
      </c>
      <c r="G6" s="3" t="s">
        <v>15</v>
      </c>
      <c r="H6" s="3" t="s">
        <v>15</v>
      </c>
      <c r="I6" s="3" t="s">
        <v>15</v>
      </c>
      <c r="J6" s="3" t="s">
        <v>15</v>
      </c>
      <c r="K6" s="3" t="s">
        <v>15</v>
      </c>
      <c r="L6" s="3" t="s">
        <v>15</v>
      </c>
      <c r="M6" s="3" t="s">
        <v>15</v>
      </c>
      <c r="N6" s="3"/>
      <c r="O6" s="3"/>
      <c r="P6" s="3"/>
    </row>
    <row r="7" spans="1:16" ht="18" x14ac:dyDescent="0.3">
      <c r="A7" s="3" t="s">
        <v>11</v>
      </c>
      <c r="B7" s="3" t="s">
        <v>15</v>
      </c>
      <c r="C7" s="3" t="s">
        <v>15</v>
      </c>
      <c r="D7" s="3" t="s">
        <v>15</v>
      </c>
      <c r="E7" s="3" t="s">
        <v>15</v>
      </c>
      <c r="F7" s="3" t="s">
        <v>15</v>
      </c>
      <c r="G7" s="3" t="s">
        <v>15</v>
      </c>
      <c r="H7" s="3" t="s">
        <v>15</v>
      </c>
      <c r="I7" s="3" t="s">
        <v>15</v>
      </c>
      <c r="J7" s="3" t="s">
        <v>15</v>
      </c>
      <c r="K7" s="3" t="s">
        <v>15</v>
      </c>
      <c r="L7" s="3" t="s">
        <v>15</v>
      </c>
      <c r="M7" s="3"/>
      <c r="N7" s="3"/>
      <c r="O7" s="3"/>
      <c r="P7" s="3"/>
    </row>
    <row r="8" spans="1:16" ht="18" x14ac:dyDescent="0.3">
      <c r="A8" s="3" t="s">
        <v>10</v>
      </c>
      <c r="B8" s="3" t="s">
        <v>15</v>
      </c>
      <c r="C8" s="3" t="s">
        <v>15</v>
      </c>
      <c r="D8" s="3" t="s">
        <v>15</v>
      </c>
      <c r="E8" s="3" t="s">
        <v>15</v>
      </c>
      <c r="F8" s="3" t="s">
        <v>15</v>
      </c>
      <c r="G8" s="3" t="s">
        <v>15</v>
      </c>
      <c r="H8" s="3" t="s">
        <v>15</v>
      </c>
      <c r="I8" s="3" t="s">
        <v>15</v>
      </c>
      <c r="J8" s="3" t="s">
        <v>15</v>
      </c>
      <c r="K8" s="3" t="s">
        <v>15</v>
      </c>
      <c r="L8" s="3"/>
      <c r="M8" s="3"/>
      <c r="N8" s="3"/>
      <c r="O8" s="3"/>
      <c r="P8" s="3"/>
    </row>
    <row r="9" spans="1:16" ht="18" x14ac:dyDescent="0.3">
      <c r="A9" s="3" t="s">
        <v>9</v>
      </c>
      <c r="B9" s="3" t="s">
        <v>15</v>
      </c>
      <c r="C9" s="3" t="s">
        <v>15</v>
      </c>
      <c r="D9" s="3" t="s">
        <v>15</v>
      </c>
      <c r="E9" s="3" t="s">
        <v>15</v>
      </c>
      <c r="F9" s="3" t="s">
        <v>15</v>
      </c>
      <c r="G9" s="3" t="s">
        <v>15</v>
      </c>
      <c r="H9" s="3" t="s">
        <v>15</v>
      </c>
      <c r="I9" s="3" t="s">
        <v>15</v>
      </c>
      <c r="J9" s="3" t="s">
        <v>15</v>
      </c>
      <c r="K9" s="3"/>
      <c r="L9" s="3"/>
      <c r="M9" s="3"/>
      <c r="N9" s="3"/>
      <c r="O9" s="3"/>
      <c r="P9" s="3"/>
    </row>
    <row r="10" spans="1:16" ht="18" x14ac:dyDescent="0.3">
      <c r="A10" s="3" t="s">
        <v>8</v>
      </c>
      <c r="B10" s="3" t="s">
        <v>15</v>
      </c>
      <c r="C10" s="3" t="s">
        <v>15</v>
      </c>
      <c r="D10" s="3" t="s">
        <v>15</v>
      </c>
      <c r="E10" s="3" t="s">
        <v>15</v>
      </c>
      <c r="F10" s="3" t="s">
        <v>15</v>
      </c>
      <c r="G10" s="3" t="s">
        <v>15</v>
      </c>
      <c r="H10" s="3" t="s">
        <v>15</v>
      </c>
      <c r="I10" s="3" t="s">
        <v>15</v>
      </c>
      <c r="J10" s="3"/>
      <c r="K10" s="3"/>
      <c r="L10" s="3"/>
      <c r="M10" s="3"/>
      <c r="N10" s="3"/>
      <c r="O10" s="3"/>
      <c r="P10" s="3"/>
    </row>
    <row r="11" spans="1:16" ht="18" x14ac:dyDescent="0.3">
      <c r="A11" s="3" t="s">
        <v>7</v>
      </c>
      <c r="B11" s="3" t="s">
        <v>15</v>
      </c>
      <c r="C11" s="3" t="s">
        <v>15</v>
      </c>
      <c r="D11" s="3" t="s">
        <v>15</v>
      </c>
      <c r="E11" s="3" t="s">
        <v>15</v>
      </c>
      <c r="F11" s="3" t="s">
        <v>15</v>
      </c>
      <c r="G11" s="3" t="s">
        <v>15</v>
      </c>
      <c r="H11" s="3" t="s">
        <v>15</v>
      </c>
      <c r="I11" s="3"/>
      <c r="J11" s="3"/>
      <c r="K11" s="3"/>
      <c r="L11" s="3"/>
      <c r="M11" s="3"/>
      <c r="N11" s="3"/>
      <c r="O11" s="3"/>
      <c r="P11" s="3"/>
    </row>
    <row r="12" spans="1:16" ht="18" x14ac:dyDescent="0.3">
      <c r="A12" s="3" t="s">
        <v>6</v>
      </c>
      <c r="B12" s="3" t="s">
        <v>15</v>
      </c>
      <c r="C12" s="3" t="s">
        <v>15</v>
      </c>
      <c r="D12" s="3" t="s">
        <v>15</v>
      </c>
      <c r="E12" s="3" t="s">
        <v>15</v>
      </c>
      <c r="F12" s="3" t="s">
        <v>15</v>
      </c>
      <c r="G12" s="3" t="s">
        <v>15</v>
      </c>
      <c r="H12" s="3"/>
      <c r="I12" s="3"/>
      <c r="J12" s="3"/>
      <c r="K12" s="3"/>
      <c r="L12" s="3"/>
      <c r="M12" s="3"/>
      <c r="N12" s="3"/>
      <c r="O12" s="3"/>
      <c r="P12" s="3"/>
    </row>
    <row r="13" spans="1:16" ht="18" x14ac:dyDescent="0.3">
      <c r="A13" s="3" t="s">
        <v>5</v>
      </c>
      <c r="B13" s="3" t="s">
        <v>15</v>
      </c>
      <c r="C13" s="3" t="s">
        <v>15</v>
      </c>
      <c r="D13" s="3" t="s">
        <v>15</v>
      </c>
      <c r="E13" s="3" t="s">
        <v>15</v>
      </c>
      <c r="F13" s="3" t="s">
        <v>15</v>
      </c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ht="18" x14ac:dyDescent="0.3">
      <c r="A14" s="3" t="s">
        <v>4</v>
      </c>
      <c r="B14" s="3" t="s">
        <v>15</v>
      </c>
      <c r="C14" s="3" t="s">
        <v>15</v>
      </c>
      <c r="D14" s="3" t="s">
        <v>15</v>
      </c>
      <c r="E14" s="3" t="s">
        <v>15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18" x14ac:dyDescent="0.3">
      <c r="A15" s="3" t="s">
        <v>3</v>
      </c>
      <c r="B15" s="3" t="s">
        <v>15</v>
      </c>
      <c r="C15" s="3" t="s">
        <v>15</v>
      </c>
      <c r="D15" s="3" t="s">
        <v>15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1:16" ht="18" x14ac:dyDescent="0.3">
      <c r="A16" s="3" t="s">
        <v>2</v>
      </c>
      <c r="B16" s="3" t="s">
        <v>15</v>
      </c>
      <c r="C16" s="3" t="s">
        <v>15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18" x14ac:dyDescent="0.3">
      <c r="A17" s="3" t="s">
        <v>1</v>
      </c>
      <c r="B17" s="3" t="s">
        <v>15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ht="18" x14ac:dyDescent="0.3">
      <c r="A18" s="3" t="s">
        <v>0</v>
      </c>
      <c r="B18" s="3"/>
      <c r="C18" s="3"/>
      <c r="D18" s="3"/>
      <c r="E18" s="3"/>
      <c r="F18" s="3"/>
      <c r="G18" s="4"/>
      <c r="H18" s="4"/>
      <c r="I18" s="4"/>
      <c r="J18" s="4"/>
      <c r="K18" s="4"/>
      <c r="L18" s="4"/>
      <c r="M18" s="4"/>
      <c r="N18" s="4"/>
      <c r="O18" s="4"/>
      <c r="P18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9" r:id="rId3" name="Control 105">
          <controlPr defaultSize="0" r:id="rId4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129540</xdr:colOff>
                <xdr:row>17</xdr:row>
                <xdr:rowOff>0</xdr:rowOff>
              </to>
            </anchor>
          </controlPr>
        </control>
      </mc:Choice>
      <mc:Fallback>
        <control shapeId="1129" r:id="rId3" name="Control 105"/>
      </mc:Fallback>
    </mc:AlternateContent>
    <mc:AlternateContent xmlns:mc="http://schemas.openxmlformats.org/markup-compatibility/2006">
      <mc:Choice Requires="x14">
        <control shapeId="1128" r:id="rId5" name="Control 104">
          <controlPr defaultSize="0" r:id="rId6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3</xdr:col>
                <xdr:colOff>129540</xdr:colOff>
                <xdr:row>16</xdr:row>
                <xdr:rowOff>0</xdr:rowOff>
              </to>
            </anchor>
          </controlPr>
        </control>
      </mc:Choice>
      <mc:Fallback>
        <control shapeId="1128" r:id="rId5" name="Control 104"/>
      </mc:Fallback>
    </mc:AlternateContent>
    <mc:AlternateContent xmlns:mc="http://schemas.openxmlformats.org/markup-compatibility/2006">
      <mc:Choice Requires="x14">
        <control shapeId="1127" r:id="rId7" name="Control 103">
          <controlPr defaultSize="0" r:id="rId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129540</xdr:colOff>
                <xdr:row>16</xdr:row>
                <xdr:rowOff>0</xdr:rowOff>
              </to>
            </anchor>
          </controlPr>
        </control>
      </mc:Choice>
      <mc:Fallback>
        <control shapeId="1127" r:id="rId7" name="Control 103"/>
      </mc:Fallback>
    </mc:AlternateContent>
    <mc:AlternateContent xmlns:mc="http://schemas.openxmlformats.org/markup-compatibility/2006">
      <mc:Choice Requires="x14">
        <control shapeId="1126" r:id="rId9" name="Control 102">
          <controlPr defaultSize="0" r:id="rId10">
            <anchor mov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129540</xdr:colOff>
                <xdr:row>15</xdr:row>
                <xdr:rowOff>0</xdr:rowOff>
              </to>
            </anchor>
          </controlPr>
        </control>
      </mc:Choice>
      <mc:Fallback>
        <control shapeId="1126" r:id="rId9" name="Control 102"/>
      </mc:Fallback>
    </mc:AlternateContent>
    <mc:AlternateContent xmlns:mc="http://schemas.openxmlformats.org/markup-compatibility/2006">
      <mc:Choice Requires="x14">
        <control shapeId="1125" r:id="rId11" name="Control 101">
          <controlPr defaultSize="0" r:id="rId6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129540</xdr:colOff>
                <xdr:row>15</xdr:row>
                <xdr:rowOff>0</xdr:rowOff>
              </to>
            </anchor>
          </controlPr>
        </control>
      </mc:Choice>
      <mc:Fallback>
        <control shapeId="1125" r:id="rId11" name="Control 101"/>
      </mc:Fallback>
    </mc:AlternateContent>
    <mc:AlternateContent xmlns:mc="http://schemas.openxmlformats.org/markup-compatibility/2006">
      <mc:Choice Requires="x14">
        <control shapeId="1124" r:id="rId12" name="Control 100">
          <controlPr defaultSize="0" r:id="rId8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129540</xdr:colOff>
                <xdr:row>15</xdr:row>
                <xdr:rowOff>0</xdr:rowOff>
              </to>
            </anchor>
          </controlPr>
        </control>
      </mc:Choice>
      <mc:Fallback>
        <control shapeId="1124" r:id="rId12" name="Control 100"/>
      </mc:Fallback>
    </mc:AlternateContent>
    <mc:AlternateContent xmlns:mc="http://schemas.openxmlformats.org/markup-compatibility/2006">
      <mc:Choice Requires="x14">
        <control shapeId="1123" r:id="rId13" name="Control 99">
          <controlPr defaultSize="0" r:id="rId14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129540</xdr:colOff>
                <xdr:row>14</xdr:row>
                <xdr:rowOff>0</xdr:rowOff>
              </to>
            </anchor>
          </controlPr>
        </control>
      </mc:Choice>
      <mc:Fallback>
        <control shapeId="1123" r:id="rId13" name="Control 99"/>
      </mc:Fallback>
    </mc:AlternateContent>
    <mc:AlternateContent xmlns:mc="http://schemas.openxmlformats.org/markup-compatibility/2006">
      <mc:Choice Requires="x14">
        <control shapeId="1122" r:id="rId15" name="Control 98">
          <controlPr defaultSize="0" r:id="rId16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129540</xdr:colOff>
                <xdr:row>14</xdr:row>
                <xdr:rowOff>0</xdr:rowOff>
              </to>
            </anchor>
          </controlPr>
        </control>
      </mc:Choice>
      <mc:Fallback>
        <control shapeId="1122" r:id="rId15" name="Control 98"/>
      </mc:Fallback>
    </mc:AlternateContent>
    <mc:AlternateContent xmlns:mc="http://schemas.openxmlformats.org/markup-compatibility/2006">
      <mc:Choice Requires="x14">
        <control shapeId="1121" r:id="rId17" name="Control 97">
          <controlPr defaultSize="0" r:id="rId18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129540</xdr:colOff>
                <xdr:row>14</xdr:row>
                <xdr:rowOff>0</xdr:rowOff>
              </to>
            </anchor>
          </controlPr>
        </control>
      </mc:Choice>
      <mc:Fallback>
        <control shapeId="1121" r:id="rId17" name="Control 97"/>
      </mc:Fallback>
    </mc:AlternateContent>
    <mc:AlternateContent xmlns:mc="http://schemas.openxmlformats.org/markup-compatibility/2006">
      <mc:Choice Requires="x14">
        <control shapeId="1120" r:id="rId19" name="Control 96">
          <controlPr defaultSize="0" r:id="rId20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129540</xdr:colOff>
                <xdr:row>14</xdr:row>
                <xdr:rowOff>0</xdr:rowOff>
              </to>
            </anchor>
          </controlPr>
        </control>
      </mc:Choice>
      <mc:Fallback>
        <control shapeId="1120" r:id="rId19" name="Control 96"/>
      </mc:Fallback>
    </mc:AlternateContent>
    <mc:AlternateContent xmlns:mc="http://schemas.openxmlformats.org/markup-compatibility/2006">
      <mc:Choice Requires="x14">
        <control shapeId="1119" r:id="rId21" name="Control 95">
          <controlPr defaultSize="0" r:id="rId14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129540</xdr:colOff>
                <xdr:row>13</xdr:row>
                <xdr:rowOff>0</xdr:rowOff>
              </to>
            </anchor>
          </controlPr>
        </control>
      </mc:Choice>
      <mc:Fallback>
        <control shapeId="1119" r:id="rId21" name="Control 95"/>
      </mc:Fallback>
    </mc:AlternateContent>
    <mc:AlternateContent xmlns:mc="http://schemas.openxmlformats.org/markup-compatibility/2006">
      <mc:Choice Requires="x14">
        <control shapeId="1118" r:id="rId22" name="Control 94">
          <controlPr defaultSize="0" r:id="rId2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129540</xdr:colOff>
                <xdr:row>13</xdr:row>
                <xdr:rowOff>0</xdr:rowOff>
              </to>
            </anchor>
          </controlPr>
        </control>
      </mc:Choice>
      <mc:Fallback>
        <control shapeId="1118" r:id="rId22" name="Control 94"/>
      </mc:Fallback>
    </mc:AlternateContent>
    <mc:AlternateContent xmlns:mc="http://schemas.openxmlformats.org/markup-compatibility/2006">
      <mc:Choice Requires="x14">
        <control shapeId="1117" r:id="rId24" name="Control 93">
          <controlPr defaultSize="0" r:id="rId23">
            <anchor moveWithCells="1">
              <from>
                <xdr:col>3</xdr:col>
                <xdr:colOff>0</xdr:colOff>
                <xdr:row>12</xdr:row>
                <xdr:rowOff>0</xdr:rowOff>
              </from>
              <to>
                <xdr:col>4</xdr:col>
                <xdr:colOff>129540</xdr:colOff>
                <xdr:row>13</xdr:row>
                <xdr:rowOff>0</xdr:rowOff>
              </to>
            </anchor>
          </controlPr>
        </control>
      </mc:Choice>
      <mc:Fallback>
        <control shapeId="1117" r:id="rId24" name="Control 93"/>
      </mc:Fallback>
    </mc:AlternateContent>
    <mc:AlternateContent xmlns:mc="http://schemas.openxmlformats.org/markup-compatibility/2006">
      <mc:Choice Requires="x14">
        <control shapeId="1116" r:id="rId25" name="Control 92">
          <controlPr defaultSize="0" r:id="rId6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129540</xdr:colOff>
                <xdr:row>13</xdr:row>
                <xdr:rowOff>0</xdr:rowOff>
              </to>
            </anchor>
          </controlPr>
        </control>
      </mc:Choice>
      <mc:Fallback>
        <control shapeId="1116" r:id="rId25" name="Control 92"/>
      </mc:Fallback>
    </mc:AlternateContent>
    <mc:AlternateContent xmlns:mc="http://schemas.openxmlformats.org/markup-compatibility/2006">
      <mc:Choice Requires="x14">
        <control shapeId="1115" r:id="rId26" name="Control 91">
          <controlPr defaultSize="0" r:id="rId27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129540</xdr:colOff>
                <xdr:row>13</xdr:row>
                <xdr:rowOff>0</xdr:rowOff>
              </to>
            </anchor>
          </controlPr>
        </control>
      </mc:Choice>
      <mc:Fallback>
        <control shapeId="1115" r:id="rId26" name="Control 91"/>
      </mc:Fallback>
    </mc:AlternateContent>
    <mc:AlternateContent xmlns:mc="http://schemas.openxmlformats.org/markup-compatibility/2006">
      <mc:Choice Requires="x14">
        <control shapeId="1114" r:id="rId28" name="Control 90">
          <controlPr defaultSize="0" r:id="rId29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7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14" r:id="rId28" name="Control 90"/>
      </mc:Fallback>
    </mc:AlternateContent>
    <mc:AlternateContent xmlns:mc="http://schemas.openxmlformats.org/markup-compatibility/2006">
      <mc:Choice Requires="x14">
        <control shapeId="1113" r:id="rId30" name="Control 89">
          <controlPr defaultSize="0" r:id="rId31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13" r:id="rId30" name="Control 89"/>
      </mc:Fallback>
    </mc:AlternateContent>
    <mc:AlternateContent xmlns:mc="http://schemas.openxmlformats.org/markup-compatibility/2006">
      <mc:Choice Requires="x14">
        <control shapeId="1112" r:id="rId32" name="Control 88">
          <controlPr defaultSize="0" r:id="rId14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12" r:id="rId32" name="Control 88"/>
      </mc:Fallback>
    </mc:AlternateContent>
    <mc:AlternateContent xmlns:mc="http://schemas.openxmlformats.org/markup-compatibility/2006">
      <mc:Choice Requires="x14">
        <control shapeId="1111" r:id="rId33" name="Control 87">
          <controlPr defaultSize="0" r:id="rId14">
            <anchor moveWithCells="1">
              <from>
                <xdr:col>3</xdr:col>
                <xdr:colOff>0</xdr:colOff>
                <xdr:row>11</xdr:row>
                <xdr:rowOff>0</xdr:rowOff>
              </from>
              <to>
                <xdr:col>4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11" r:id="rId33" name="Control 87"/>
      </mc:Fallback>
    </mc:AlternateContent>
    <mc:AlternateContent xmlns:mc="http://schemas.openxmlformats.org/markup-compatibility/2006">
      <mc:Choice Requires="x14">
        <control shapeId="1110" r:id="rId34" name="Control 86">
          <controlPr defaultSize="0" r:id="rId6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10" r:id="rId34" name="Control 86"/>
      </mc:Fallback>
    </mc:AlternateContent>
    <mc:AlternateContent xmlns:mc="http://schemas.openxmlformats.org/markup-compatibility/2006">
      <mc:Choice Requires="x14">
        <control shapeId="1109" r:id="rId35" name="Control 85">
          <controlPr defaultSize="0" r:id="rId36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129540</xdr:colOff>
                <xdr:row>12</xdr:row>
                <xdr:rowOff>0</xdr:rowOff>
              </to>
            </anchor>
          </controlPr>
        </control>
      </mc:Choice>
      <mc:Fallback>
        <control shapeId="1109" r:id="rId35" name="Control 85"/>
      </mc:Fallback>
    </mc:AlternateContent>
    <mc:AlternateContent xmlns:mc="http://schemas.openxmlformats.org/markup-compatibility/2006">
      <mc:Choice Requires="x14">
        <control shapeId="1108" r:id="rId37" name="Control 84">
          <controlPr defaultSize="0" r:id="rId38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8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8" r:id="rId37" name="Control 84"/>
      </mc:Fallback>
    </mc:AlternateContent>
    <mc:AlternateContent xmlns:mc="http://schemas.openxmlformats.org/markup-compatibility/2006">
      <mc:Choice Requires="x14">
        <control shapeId="1107" r:id="rId39" name="Control 83">
          <controlPr defaultSize="0" r:id="rId38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7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7" r:id="rId39" name="Control 83"/>
      </mc:Fallback>
    </mc:AlternateContent>
    <mc:AlternateContent xmlns:mc="http://schemas.openxmlformats.org/markup-compatibility/2006">
      <mc:Choice Requires="x14">
        <control shapeId="1106" r:id="rId40" name="Control 82">
          <controlPr defaultSize="0" r:id="rId41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6" r:id="rId40" name="Control 82"/>
      </mc:Fallback>
    </mc:AlternateContent>
    <mc:AlternateContent xmlns:mc="http://schemas.openxmlformats.org/markup-compatibility/2006">
      <mc:Choice Requires="x14">
        <control shapeId="1105" r:id="rId42" name="Control 81">
          <controlPr defaultSize="0" r:id="rId6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5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5" r:id="rId42" name="Control 81"/>
      </mc:Fallback>
    </mc:AlternateContent>
    <mc:AlternateContent xmlns:mc="http://schemas.openxmlformats.org/markup-compatibility/2006">
      <mc:Choice Requires="x14">
        <control shapeId="1104" r:id="rId43" name="Control 80">
          <controlPr defaultSize="0" r:id="rId6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4" r:id="rId43" name="Control 80"/>
      </mc:Fallback>
    </mc:AlternateContent>
    <mc:AlternateContent xmlns:mc="http://schemas.openxmlformats.org/markup-compatibility/2006">
      <mc:Choice Requires="x14">
        <control shapeId="1103" r:id="rId44" name="Control 79">
          <controlPr defaultSize="0" r:id="rId6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3" r:id="rId44" name="Control 79"/>
      </mc:Fallback>
    </mc:AlternateContent>
    <mc:AlternateContent xmlns:mc="http://schemas.openxmlformats.org/markup-compatibility/2006">
      <mc:Choice Requires="x14">
        <control shapeId="1102" r:id="rId45" name="Control 78">
          <controlPr defaultSize="0" r:id="rId2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129540</xdr:colOff>
                <xdr:row>11</xdr:row>
                <xdr:rowOff>0</xdr:rowOff>
              </to>
            </anchor>
          </controlPr>
        </control>
      </mc:Choice>
      <mc:Fallback>
        <control shapeId="1102" r:id="rId45" name="Control 78"/>
      </mc:Fallback>
    </mc:AlternateContent>
    <mc:AlternateContent xmlns:mc="http://schemas.openxmlformats.org/markup-compatibility/2006">
      <mc:Choice Requires="x14">
        <control shapeId="1101" r:id="rId46" name="Control 77">
          <controlPr defaultSize="0" r:id="rId4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101" r:id="rId46" name="Control 77"/>
      </mc:Fallback>
    </mc:AlternateContent>
    <mc:AlternateContent xmlns:mc="http://schemas.openxmlformats.org/markup-compatibility/2006">
      <mc:Choice Requires="x14">
        <control shapeId="1100" r:id="rId48" name="Control 76">
          <controlPr defaultSize="0" r:id="rId6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8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100" r:id="rId48" name="Control 76"/>
      </mc:Fallback>
    </mc:AlternateContent>
    <mc:AlternateContent xmlns:mc="http://schemas.openxmlformats.org/markup-compatibility/2006">
      <mc:Choice Requires="x14">
        <control shapeId="1099" r:id="rId49" name="Control 75">
          <controlPr defaultSize="0" r:id="rId6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7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9" r:id="rId49" name="Control 75"/>
      </mc:Fallback>
    </mc:AlternateContent>
    <mc:AlternateContent xmlns:mc="http://schemas.openxmlformats.org/markup-compatibility/2006">
      <mc:Choice Requires="x14">
        <control shapeId="1098" r:id="rId50" name="Control 74">
          <controlPr defaultSize="0" r:id="rId14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8" r:id="rId50" name="Control 74"/>
      </mc:Fallback>
    </mc:AlternateContent>
    <mc:AlternateContent xmlns:mc="http://schemas.openxmlformats.org/markup-compatibility/2006">
      <mc:Choice Requires="x14">
        <control shapeId="1097" r:id="rId51" name="Control 73">
          <controlPr defaultSize="0" r:id="rId14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7" r:id="rId51" name="Control 73"/>
      </mc:Fallback>
    </mc:AlternateContent>
    <mc:AlternateContent xmlns:mc="http://schemas.openxmlformats.org/markup-compatibility/2006">
      <mc:Choice Requires="x14">
        <control shapeId="1096" r:id="rId52" name="Control 72">
          <controlPr defaultSize="0" r:id="rId53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6" r:id="rId52" name="Control 72"/>
      </mc:Fallback>
    </mc:AlternateContent>
    <mc:AlternateContent xmlns:mc="http://schemas.openxmlformats.org/markup-compatibility/2006">
      <mc:Choice Requires="x14">
        <control shapeId="1095" r:id="rId54" name="Control 71">
          <controlPr defaultSize="0" r:id="rId36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3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5" r:id="rId54" name="Control 71"/>
      </mc:Fallback>
    </mc:AlternateContent>
    <mc:AlternateContent xmlns:mc="http://schemas.openxmlformats.org/markup-compatibility/2006">
      <mc:Choice Requires="x14">
        <control shapeId="1094" r:id="rId55" name="Control 70">
          <controlPr defaultSize="0" r:id="rId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129540</xdr:colOff>
                <xdr:row>10</xdr:row>
                <xdr:rowOff>0</xdr:rowOff>
              </to>
            </anchor>
          </controlPr>
        </control>
      </mc:Choice>
      <mc:Fallback>
        <control shapeId="1094" r:id="rId55" name="Control 70"/>
      </mc:Fallback>
    </mc:AlternateContent>
    <mc:AlternateContent xmlns:mc="http://schemas.openxmlformats.org/markup-compatibility/2006">
      <mc:Choice Requires="x14">
        <control shapeId="1093" r:id="rId56" name="Control 69">
          <controlPr defaultSize="0" r:id="rId57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93" r:id="rId56" name="Control 69"/>
      </mc:Fallback>
    </mc:AlternateContent>
    <mc:AlternateContent xmlns:mc="http://schemas.openxmlformats.org/markup-compatibility/2006">
      <mc:Choice Requires="x14">
        <control shapeId="1092" r:id="rId58" name="Control 68">
          <controlPr defaultSize="0" r:id="rId41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92" r:id="rId58" name="Control 68"/>
      </mc:Fallback>
    </mc:AlternateContent>
    <mc:AlternateContent xmlns:mc="http://schemas.openxmlformats.org/markup-compatibility/2006">
      <mc:Choice Requires="x14">
        <control shapeId="1091" r:id="rId59" name="Control 67">
          <controlPr defaultSize="0" r:id="rId36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8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91" r:id="rId59" name="Control 67"/>
      </mc:Fallback>
    </mc:AlternateContent>
    <mc:AlternateContent xmlns:mc="http://schemas.openxmlformats.org/markup-compatibility/2006">
      <mc:Choice Requires="x14">
        <control shapeId="1090" r:id="rId60" name="Control 66">
          <controlPr defaultSize="0" r:id="rId61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7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90" r:id="rId60" name="Control 66"/>
      </mc:Fallback>
    </mc:AlternateContent>
    <mc:AlternateContent xmlns:mc="http://schemas.openxmlformats.org/markup-compatibility/2006">
      <mc:Choice Requires="x14">
        <control shapeId="1089" r:id="rId62" name="Control 65">
          <controlPr defaultSize="0" r:id="rId14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89" r:id="rId62" name="Control 65"/>
      </mc:Fallback>
    </mc:AlternateContent>
    <mc:AlternateContent xmlns:mc="http://schemas.openxmlformats.org/markup-compatibility/2006">
      <mc:Choice Requires="x14">
        <control shapeId="1088" r:id="rId63" name="Control 64">
          <controlPr defaultSize="0" r:id="rId64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88" r:id="rId63" name="Control 64"/>
      </mc:Fallback>
    </mc:AlternateContent>
    <mc:AlternateContent xmlns:mc="http://schemas.openxmlformats.org/markup-compatibility/2006">
      <mc:Choice Requires="x14">
        <control shapeId="1087" r:id="rId65" name="Control 63">
          <controlPr defaultSize="0" r:id="rId14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87" r:id="rId65" name="Control 63"/>
      </mc:Fallback>
    </mc:AlternateContent>
    <mc:AlternateContent xmlns:mc="http://schemas.openxmlformats.org/markup-compatibility/2006">
      <mc:Choice Requires="x14">
        <control shapeId="1086" r:id="rId66" name="Control 62">
          <controlPr defaultSize="0" r:id="rId8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86" r:id="rId66" name="Control 62"/>
      </mc:Fallback>
    </mc:AlternateContent>
    <mc:AlternateContent xmlns:mc="http://schemas.openxmlformats.org/markup-compatibility/2006">
      <mc:Choice Requires="x14">
        <control shapeId="1085" r:id="rId67" name="Control 61">
          <controlPr defaultSiz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129540</xdr:colOff>
                <xdr:row>9</xdr:row>
                <xdr:rowOff>0</xdr:rowOff>
              </to>
            </anchor>
          </controlPr>
        </control>
      </mc:Choice>
      <mc:Fallback>
        <control shapeId="1085" r:id="rId67" name="Control 61"/>
      </mc:Fallback>
    </mc:AlternateContent>
    <mc:AlternateContent xmlns:mc="http://schemas.openxmlformats.org/markup-compatibility/2006">
      <mc:Choice Requires="x14">
        <control shapeId="1084" r:id="rId68" name="Control 60">
          <controlPr defaultSize="0" r:id="rId8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84" r:id="rId68" name="Control 60"/>
      </mc:Fallback>
    </mc:AlternateContent>
    <mc:AlternateContent xmlns:mc="http://schemas.openxmlformats.org/markup-compatibility/2006">
      <mc:Choice Requires="x14">
        <control shapeId="1083" r:id="rId69" name="Control 59">
          <controlPr defaultSize="0" r:id="rId7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83" r:id="rId69" name="Control 59"/>
      </mc:Fallback>
    </mc:AlternateContent>
    <mc:AlternateContent xmlns:mc="http://schemas.openxmlformats.org/markup-compatibility/2006">
      <mc:Choice Requires="x14">
        <control shapeId="1082" r:id="rId71" name="Control 58">
          <controlPr defaultSize="0" r:id="rId6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82" r:id="rId71" name="Control 58"/>
      </mc:Fallback>
    </mc:AlternateContent>
    <mc:AlternateContent xmlns:mc="http://schemas.openxmlformats.org/markup-compatibility/2006">
      <mc:Choice Requires="x14">
        <control shapeId="1081" r:id="rId72" name="Control 57">
          <controlPr defaultSize="0" r:id="rId29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81" r:id="rId72" name="Control 57"/>
      </mc:Fallback>
    </mc:AlternateContent>
    <mc:AlternateContent xmlns:mc="http://schemas.openxmlformats.org/markup-compatibility/2006">
      <mc:Choice Requires="x14">
        <control shapeId="1080" r:id="rId73" name="Control 56">
          <controlPr defaultSize="0" r:id="rId6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80" r:id="rId73" name="Control 56"/>
      </mc:Fallback>
    </mc:AlternateContent>
    <mc:AlternateContent xmlns:mc="http://schemas.openxmlformats.org/markup-compatibility/2006">
      <mc:Choice Requires="x14">
        <control shapeId="1079" r:id="rId74" name="Control 55">
          <controlPr defaultSize="0" r:id="rId6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79" r:id="rId74" name="Control 55"/>
      </mc:Fallback>
    </mc:AlternateContent>
    <mc:AlternateContent xmlns:mc="http://schemas.openxmlformats.org/markup-compatibility/2006">
      <mc:Choice Requires="x14">
        <control shapeId="1078" r:id="rId75" name="Control 54">
          <controlPr defaultSize="0" r:id="rId6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78" r:id="rId75" name="Control 54"/>
      </mc:Fallback>
    </mc:AlternateContent>
    <mc:AlternateContent xmlns:mc="http://schemas.openxmlformats.org/markup-compatibility/2006">
      <mc:Choice Requires="x14">
        <control shapeId="1077" r:id="rId76" name="Control 53">
          <controlPr defaultSize="0" r:id="rId8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77" r:id="rId76" name="Control 53"/>
      </mc:Fallback>
    </mc:AlternateContent>
    <mc:AlternateContent xmlns:mc="http://schemas.openxmlformats.org/markup-compatibility/2006">
      <mc:Choice Requires="x14">
        <control shapeId="1076" r:id="rId77" name="Control 52">
          <controlPr defaultSize="0" r:id="rId36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76" r:id="rId77" name="Control 52"/>
      </mc:Fallback>
    </mc:AlternateContent>
    <mc:AlternateContent xmlns:mc="http://schemas.openxmlformats.org/markup-compatibility/2006">
      <mc:Choice Requires="x14">
        <control shapeId="1075" r:id="rId78" name="Control 51">
          <controlPr defaultSize="0" r:id="rId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129540</xdr:colOff>
                <xdr:row>8</xdr:row>
                <xdr:rowOff>0</xdr:rowOff>
              </to>
            </anchor>
          </controlPr>
        </control>
      </mc:Choice>
      <mc:Fallback>
        <control shapeId="1075" r:id="rId78" name="Control 51"/>
      </mc:Fallback>
    </mc:AlternateContent>
    <mc:AlternateContent xmlns:mc="http://schemas.openxmlformats.org/markup-compatibility/2006">
      <mc:Choice Requires="x14">
        <control shapeId="1074" r:id="rId79" name="Control 50">
          <controlPr defaultSize="0" r:id="rId8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74" r:id="rId79" name="Control 50"/>
      </mc:Fallback>
    </mc:AlternateContent>
    <mc:AlternateContent xmlns:mc="http://schemas.openxmlformats.org/markup-compatibility/2006">
      <mc:Choice Requires="x14">
        <control shapeId="1073" r:id="rId81" name="Control 49">
          <controlPr defaultSize="0" r:id="rId82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73" r:id="rId81" name="Control 49"/>
      </mc:Fallback>
    </mc:AlternateContent>
    <mc:AlternateContent xmlns:mc="http://schemas.openxmlformats.org/markup-compatibility/2006">
      <mc:Choice Requires="x14">
        <control shapeId="1072" r:id="rId83" name="Control 48">
          <controlPr defaultSize="0" r:id="rId57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72" r:id="rId83" name="Control 48"/>
      </mc:Fallback>
    </mc:AlternateContent>
    <mc:AlternateContent xmlns:mc="http://schemas.openxmlformats.org/markup-compatibility/2006">
      <mc:Choice Requires="x14">
        <control shapeId="1071" r:id="rId84" name="Control 47">
          <controlPr defaultSize="0" r:id="rId85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71" r:id="rId84" name="Control 47"/>
      </mc:Fallback>
    </mc:AlternateContent>
    <mc:AlternateContent xmlns:mc="http://schemas.openxmlformats.org/markup-compatibility/2006">
      <mc:Choice Requires="x14">
        <control shapeId="1070" r:id="rId86" name="Control 46">
          <controlPr defaultSize="0" r:id="rId31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70" r:id="rId86" name="Control 46"/>
      </mc:Fallback>
    </mc:AlternateContent>
    <mc:AlternateContent xmlns:mc="http://schemas.openxmlformats.org/markup-compatibility/2006">
      <mc:Choice Requires="x14">
        <control shapeId="1069" r:id="rId87" name="Control 45">
          <controlPr defaultSize="0" r:id="rId6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9" r:id="rId87" name="Control 45"/>
      </mc:Fallback>
    </mc:AlternateContent>
    <mc:AlternateContent xmlns:mc="http://schemas.openxmlformats.org/markup-compatibility/2006">
      <mc:Choice Requires="x14">
        <control shapeId="1068" r:id="rId88" name="Control 44">
          <controlPr defaultSize="0" r:id="rId6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8" r:id="rId88" name="Control 44"/>
      </mc:Fallback>
    </mc:AlternateContent>
    <mc:AlternateContent xmlns:mc="http://schemas.openxmlformats.org/markup-compatibility/2006">
      <mc:Choice Requires="x14">
        <control shapeId="1067" r:id="rId89" name="Control 43">
          <controlPr defaultSize="0" r:id="rId6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7" r:id="rId89" name="Control 43"/>
      </mc:Fallback>
    </mc:AlternateContent>
    <mc:AlternateContent xmlns:mc="http://schemas.openxmlformats.org/markup-compatibility/2006">
      <mc:Choice Requires="x14">
        <control shapeId="1066" r:id="rId90" name="Control 42">
          <controlPr defaultSize="0" r:id="rId6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6" r:id="rId90" name="Control 42"/>
      </mc:Fallback>
    </mc:AlternateContent>
    <mc:AlternateContent xmlns:mc="http://schemas.openxmlformats.org/markup-compatibility/2006">
      <mc:Choice Requires="x14">
        <control shapeId="1065" r:id="rId91" name="Control 41">
          <controlPr defaultSize="0" r:id="rId2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5" r:id="rId91" name="Control 41"/>
      </mc:Fallback>
    </mc:AlternateContent>
    <mc:AlternateContent xmlns:mc="http://schemas.openxmlformats.org/markup-compatibility/2006">
      <mc:Choice Requires="x14">
        <control shapeId="1064" r:id="rId92" name="Control 40">
          <controlPr defaultSize="0" r:id="rId9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129540</xdr:colOff>
                <xdr:row>7</xdr:row>
                <xdr:rowOff>0</xdr:rowOff>
              </to>
            </anchor>
          </controlPr>
        </control>
      </mc:Choice>
      <mc:Fallback>
        <control shapeId="1064" r:id="rId92" name="Control 40"/>
      </mc:Fallback>
    </mc:AlternateContent>
    <mc:AlternateContent xmlns:mc="http://schemas.openxmlformats.org/markup-compatibility/2006">
      <mc:Choice Requires="x14">
        <control shapeId="1063" r:id="rId94" name="Control 39">
          <controlPr defaultSize="0" r:id="rId6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13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63" r:id="rId94" name="Control 39"/>
      </mc:Fallback>
    </mc:AlternateContent>
    <mc:AlternateContent xmlns:mc="http://schemas.openxmlformats.org/markup-compatibility/2006">
      <mc:Choice Requires="x14">
        <control shapeId="1062" r:id="rId95" name="Control 38">
          <controlPr defaultSize="0" r:id="rId96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12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62" r:id="rId95" name="Control 38"/>
      </mc:Fallback>
    </mc:AlternateContent>
    <mc:AlternateContent xmlns:mc="http://schemas.openxmlformats.org/markup-compatibility/2006">
      <mc:Choice Requires="x14">
        <control shapeId="1061" r:id="rId97" name="Control 37">
          <controlPr defaultSize="0" r:id="rId27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11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61" r:id="rId97" name="Control 37"/>
      </mc:Fallback>
    </mc:AlternateContent>
    <mc:AlternateContent xmlns:mc="http://schemas.openxmlformats.org/markup-compatibility/2006">
      <mc:Choice Requires="x14">
        <control shapeId="1060" r:id="rId98" name="Control 36">
          <controlPr defaultSize="0" r:id="rId9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10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60" r:id="rId98" name="Control 36"/>
      </mc:Fallback>
    </mc:AlternateContent>
    <mc:AlternateContent xmlns:mc="http://schemas.openxmlformats.org/markup-compatibility/2006">
      <mc:Choice Requires="x14">
        <control shapeId="1059" r:id="rId100" name="Control 35">
          <controlPr defaultSize="0" r:id="rId101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9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9" r:id="rId100" name="Control 35"/>
      </mc:Fallback>
    </mc:AlternateContent>
    <mc:AlternateContent xmlns:mc="http://schemas.openxmlformats.org/markup-compatibility/2006">
      <mc:Choice Requires="x14">
        <control shapeId="1058" r:id="rId102" name="Control 34">
          <controlPr defaultSize="0" r:id="rId8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8" r:id="rId102" name="Control 34"/>
      </mc:Fallback>
    </mc:AlternateContent>
    <mc:AlternateContent xmlns:mc="http://schemas.openxmlformats.org/markup-compatibility/2006">
      <mc:Choice Requires="x14">
        <control shapeId="1057" r:id="rId103" name="Control 33">
          <controlPr defaultSize="0" r:id="rId8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7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7" r:id="rId103" name="Control 33"/>
      </mc:Fallback>
    </mc:AlternateContent>
    <mc:AlternateContent xmlns:mc="http://schemas.openxmlformats.org/markup-compatibility/2006">
      <mc:Choice Requires="x14">
        <control shapeId="1056" r:id="rId104" name="Control 32">
          <controlPr defaultSize="0" r:id="rId36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6" r:id="rId104" name="Control 32"/>
      </mc:Fallback>
    </mc:AlternateContent>
    <mc:AlternateContent xmlns:mc="http://schemas.openxmlformats.org/markup-compatibility/2006">
      <mc:Choice Requires="x14">
        <control shapeId="1055" r:id="rId105" name="Control 31">
          <controlPr defaultSize="0" r:id="rId6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5" r:id="rId105" name="Control 31"/>
      </mc:Fallback>
    </mc:AlternateContent>
    <mc:AlternateContent xmlns:mc="http://schemas.openxmlformats.org/markup-compatibility/2006">
      <mc:Choice Requires="x14">
        <control shapeId="1054" r:id="rId106" name="Control 30">
          <controlPr defaultSize="0" r:id="rId107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4" r:id="rId106" name="Control 30"/>
      </mc:Fallback>
    </mc:AlternateContent>
    <mc:AlternateContent xmlns:mc="http://schemas.openxmlformats.org/markup-compatibility/2006">
      <mc:Choice Requires="x14">
        <control shapeId="1053" r:id="rId108" name="Control 29">
          <controlPr defaultSize="0" r:id="rId6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3" r:id="rId108" name="Control 29"/>
      </mc:Fallback>
    </mc:AlternateContent>
    <mc:AlternateContent xmlns:mc="http://schemas.openxmlformats.org/markup-compatibility/2006">
      <mc:Choice Requires="x14">
        <control shapeId="1052" r:id="rId109" name="Control 28">
          <controlPr defaultSize="0" r:id="rId10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129540</xdr:colOff>
                <xdr:row>6</xdr:row>
                <xdr:rowOff>0</xdr:rowOff>
              </to>
            </anchor>
          </controlPr>
        </control>
      </mc:Choice>
      <mc:Fallback>
        <control shapeId="1052" r:id="rId109" name="Control 28"/>
      </mc:Fallback>
    </mc:AlternateContent>
    <mc:AlternateContent xmlns:mc="http://schemas.openxmlformats.org/markup-compatibility/2006">
      <mc:Choice Requires="x14">
        <control shapeId="1051" r:id="rId110" name="Control 27">
          <controlPr defaultSize="0" r:id="rId70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51" r:id="rId110" name="Control 27"/>
      </mc:Fallback>
    </mc:AlternateContent>
    <mc:AlternateContent xmlns:mc="http://schemas.openxmlformats.org/markup-compatibility/2006">
      <mc:Choice Requires="x14">
        <control shapeId="1050" r:id="rId111" name="Control 26">
          <controlPr defaultSize="0" r:id="rId70">
            <anchor moveWithCells="1">
              <from>
                <xdr:col>12</xdr:col>
                <xdr:colOff>0</xdr:colOff>
                <xdr:row>4</xdr:row>
                <xdr:rowOff>0</xdr:rowOff>
              </from>
              <to>
                <xdr:col>13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50" r:id="rId111" name="Control 26"/>
      </mc:Fallback>
    </mc:AlternateContent>
    <mc:AlternateContent xmlns:mc="http://schemas.openxmlformats.org/markup-compatibility/2006">
      <mc:Choice Requires="x14">
        <control shapeId="1049" r:id="rId112" name="Control 25">
          <controlPr defaultSize="0" r:id="rId113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9" r:id="rId112" name="Control 25"/>
      </mc:Fallback>
    </mc:AlternateContent>
    <mc:AlternateContent xmlns:mc="http://schemas.openxmlformats.org/markup-compatibility/2006">
      <mc:Choice Requires="x14">
        <control shapeId="1048" r:id="rId114" name="Control 24">
          <controlPr defaultSize="0" r:id="rId115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8" r:id="rId114" name="Control 24"/>
      </mc:Fallback>
    </mc:AlternateContent>
    <mc:AlternateContent xmlns:mc="http://schemas.openxmlformats.org/markup-compatibility/2006">
      <mc:Choice Requires="x14">
        <control shapeId="1047" r:id="rId116" name="Control 23">
          <controlPr defaultSize="0" r:id="rId8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10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7" r:id="rId116" name="Control 23"/>
      </mc:Fallback>
    </mc:AlternateContent>
    <mc:AlternateContent xmlns:mc="http://schemas.openxmlformats.org/markup-compatibility/2006">
      <mc:Choice Requires="x14">
        <control shapeId="1046" r:id="rId117" name="Control 22">
          <controlPr defaultSize="0" r:id="rId70">
            <anchor moveWithCells="1">
              <from>
                <xdr:col>8</xdr:col>
                <xdr:colOff>0</xdr:colOff>
                <xdr:row>4</xdr:row>
                <xdr:rowOff>0</xdr:rowOff>
              </from>
              <to>
                <xdr:col>9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6" r:id="rId117" name="Control 22"/>
      </mc:Fallback>
    </mc:AlternateContent>
    <mc:AlternateContent xmlns:mc="http://schemas.openxmlformats.org/markup-compatibility/2006">
      <mc:Choice Requires="x14">
        <control shapeId="1045" r:id="rId118" name="Control 21">
          <controlPr defaultSize="0" r:id="rId38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5" r:id="rId118" name="Control 21"/>
      </mc:Fallback>
    </mc:AlternateContent>
    <mc:AlternateContent xmlns:mc="http://schemas.openxmlformats.org/markup-compatibility/2006">
      <mc:Choice Requires="x14">
        <control shapeId="1044" r:id="rId119" name="Control 20">
          <controlPr defaultSize="0" r:id="rId101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4" r:id="rId119" name="Control 20"/>
      </mc:Fallback>
    </mc:AlternateContent>
    <mc:AlternateContent xmlns:mc="http://schemas.openxmlformats.org/markup-compatibility/2006">
      <mc:Choice Requires="x14">
        <control shapeId="1043" r:id="rId120" name="Control 19">
          <controlPr defaultSize="0" r:id="rId41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3" r:id="rId120" name="Control 19"/>
      </mc:Fallback>
    </mc:AlternateContent>
    <mc:AlternateContent xmlns:mc="http://schemas.openxmlformats.org/markup-compatibility/2006">
      <mc:Choice Requires="x14">
        <control shapeId="1042" r:id="rId121" name="Control 18">
          <controlPr defaultSize="0" r:id="rId36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2" r:id="rId121" name="Control 18"/>
      </mc:Fallback>
    </mc:AlternateContent>
    <mc:AlternateContent xmlns:mc="http://schemas.openxmlformats.org/markup-compatibility/2006">
      <mc:Choice Requires="x14">
        <control shapeId="1041" r:id="rId122" name="Control 17">
          <controlPr defaultSize="0" r:id="rId6">
            <anchor moveWithCells="1">
              <from>
                <xdr:col>3</xdr:col>
                <xdr:colOff>0</xdr:colOff>
                <xdr:row>4</xdr:row>
                <xdr:rowOff>0</xdr:rowOff>
              </from>
              <to>
                <xdr:col>4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1" r:id="rId122" name="Control 17"/>
      </mc:Fallback>
    </mc:AlternateContent>
    <mc:AlternateContent xmlns:mc="http://schemas.openxmlformats.org/markup-compatibility/2006">
      <mc:Choice Requires="x14">
        <control shapeId="1040" r:id="rId123" name="Control 16">
          <controlPr defaultSize="0" r:id="rId36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40" r:id="rId123" name="Control 16"/>
      </mc:Fallback>
    </mc:AlternateContent>
    <mc:AlternateContent xmlns:mc="http://schemas.openxmlformats.org/markup-compatibility/2006">
      <mc:Choice Requires="x14">
        <control shapeId="1039" r:id="rId124" name="Control 15">
          <controlPr defaultSize="0" r:id="rId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129540</xdr:colOff>
                <xdr:row>5</xdr:row>
                <xdr:rowOff>0</xdr:rowOff>
              </to>
            </anchor>
          </controlPr>
        </control>
      </mc:Choice>
      <mc:Fallback>
        <control shapeId="1039" r:id="rId124" name="Control 15"/>
      </mc:Fallback>
    </mc:AlternateContent>
    <mc:AlternateContent xmlns:mc="http://schemas.openxmlformats.org/markup-compatibility/2006">
      <mc:Choice Requires="x14">
        <control shapeId="1038" r:id="rId125" name="Control 14">
          <controlPr defaultSize="0" r:id="rId8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15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8" r:id="rId125" name="Control 14"/>
      </mc:Fallback>
    </mc:AlternateContent>
    <mc:AlternateContent xmlns:mc="http://schemas.openxmlformats.org/markup-compatibility/2006">
      <mc:Choice Requires="x14">
        <control shapeId="1037" r:id="rId126" name="Control 13">
          <controlPr defaultSize="0" r:id="rId6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14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7" r:id="rId126" name="Control 13"/>
      </mc:Fallback>
    </mc:AlternateContent>
    <mc:AlternateContent xmlns:mc="http://schemas.openxmlformats.org/markup-compatibility/2006">
      <mc:Choice Requires="x14">
        <control shapeId="1036" r:id="rId127" name="Control 12">
          <controlPr defaultSize="0" r:id="rId8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6" r:id="rId127" name="Control 12"/>
      </mc:Fallback>
    </mc:AlternateContent>
    <mc:AlternateContent xmlns:mc="http://schemas.openxmlformats.org/markup-compatibility/2006">
      <mc:Choice Requires="x14">
        <control shapeId="1035" r:id="rId128" name="Control 11">
          <controlPr defaultSize="0" r:id="rId6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5" r:id="rId128" name="Control 11"/>
      </mc:Fallback>
    </mc:AlternateContent>
    <mc:AlternateContent xmlns:mc="http://schemas.openxmlformats.org/markup-compatibility/2006">
      <mc:Choice Requires="x14">
        <control shapeId="1034" r:id="rId129" name="Control 10">
          <controlPr defaultSize="0" r:id="rId27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4" r:id="rId129" name="Control 10"/>
      </mc:Fallback>
    </mc:AlternateContent>
    <mc:AlternateContent xmlns:mc="http://schemas.openxmlformats.org/markup-compatibility/2006">
      <mc:Choice Requires="x14">
        <control shapeId="1033" r:id="rId130" name="Control 9">
          <controlPr defaultSize="0" r:id="rId6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10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3" r:id="rId130" name="Control 9"/>
      </mc:Fallback>
    </mc:AlternateContent>
    <mc:AlternateContent xmlns:mc="http://schemas.openxmlformats.org/markup-compatibility/2006">
      <mc:Choice Requires="x14">
        <control shapeId="1032" r:id="rId131" name="Control 8">
          <controlPr defaultSize="0" r:id="rId29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9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2" r:id="rId131" name="Control 8"/>
      </mc:Fallback>
    </mc:AlternateContent>
    <mc:AlternateContent xmlns:mc="http://schemas.openxmlformats.org/markup-compatibility/2006">
      <mc:Choice Requires="x14">
        <control shapeId="1031" r:id="rId132" name="Control 7">
          <controlPr defaultSize="0" r:id="rId27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1" r:id="rId132" name="Control 7"/>
      </mc:Fallback>
    </mc:AlternateContent>
    <mc:AlternateContent xmlns:mc="http://schemas.openxmlformats.org/markup-compatibility/2006">
      <mc:Choice Requires="x14">
        <control shapeId="1030" r:id="rId133" name="Control 6">
          <controlPr defaultSize="0" r:id="rId6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30" r:id="rId133" name="Control 6"/>
      </mc:Fallback>
    </mc:AlternateContent>
    <mc:AlternateContent xmlns:mc="http://schemas.openxmlformats.org/markup-compatibility/2006">
      <mc:Choice Requires="x14">
        <control shapeId="1029" r:id="rId134" name="Control 5">
          <controlPr defaultSize="0" r:id="rId38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29" r:id="rId134" name="Control 5"/>
      </mc:Fallback>
    </mc:AlternateContent>
    <mc:AlternateContent xmlns:mc="http://schemas.openxmlformats.org/markup-compatibility/2006">
      <mc:Choice Requires="x14">
        <control shapeId="1028" r:id="rId135" name="Control 4">
          <controlPr defaultSize="0" r:id="rId6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28" r:id="rId135" name="Control 4"/>
      </mc:Fallback>
    </mc:AlternateContent>
    <mc:AlternateContent xmlns:mc="http://schemas.openxmlformats.org/markup-compatibility/2006">
      <mc:Choice Requires="x14">
        <control shapeId="1027" r:id="rId136" name="Control 3">
          <controlPr defaultSize="0" r:id="rId38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27" r:id="rId136" name="Control 3"/>
      </mc:Fallback>
    </mc:AlternateContent>
    <mc:AlternateContent xmlns:mc="http://schemas.openxmlformats.org/markup-compatibility/2006">
      <mc:Choice Requires="x14">
        <control shapeId="1026" r:id="rId137" name="Control 2">
          <controlPr defaultSize="0" r:id="rId3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26" r:id="rId137" name="Control 2"/>
      </mc:Fallback>
    </mc:AlternateContent>
    <mc:AlternateContent xmlns:mc="http://schemas.openxmlformats.org/markup-compatibility/2006">
      <mc:Choice Requires="x14">
        <control shapeId="1025" r:id="rId138" name="Control 1">
          <controlPr defaultSize="0" r:id="rId13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129540</xdr:colOff>
                <xdr:row>4</xdr:row>
                <xdr:rowOff>0</xdr:rowOff>
              </to>
            </anchor>
          </controlPr>
        </control>
      </mc:Choice>
      <mc:Fallback>
        <control shapeId="1025" r:id="rId138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917C-3D9A-4795-82BD-07357B82EFB3}">
  <sheetPr codeName="Sheet2"/>
  <dimension ref="C3:AK79"/>
  <sheetViews>
    <sheetView topLeftCell="A55" zoomScale="85" zoomScaleNormal="85" workbookViewId="0">
      <selection activeCell="K26" sqref="K26"/>
    </sheetView>
  </sheetViews>
  <sheetFormatPr defaultRowHeight="14.4" x14ac:dyDescent="0.3"/>
  <cols>
    <col min="3" max="3" width="40.33203125" bestFit="1" customWidth="1"/>
    <col min="4" max="4" width="13.5546875" bestFit="1" customWidth="1"/>
    <col min="5" max="5" width="18.6640625" bestFit="1" customWidth="1"/>
    <col min="21" max="21" width="14.88671875" customWidth="1"/>
  </cols>
  <sheetData>
    <row r="3" spans="3:37" ht="17.399999999999999" x14ac:dyDescent="0.3">
      <c r="C3" s="5" t="s">
        <v>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3:37" ht="27.6" x14ac:dyDescent="0.3">
      <c r="C4" s="6" t="s">
        <v>16</v>
      </c>
      <c r="D4" s="6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 t="s">
        <v>17</v>
      </c>
      <c r="U4" s="6" t="s">
        <v>16</v>
      </c>
      <c r="V4" s="12" t="s">
        <v>14</v>
      </c>
      <c r="W4" s="12" t="s">
        <v>13</v>
      </c>
      <c r="X4" s="12" t="s">
        <v>12</v>
      </c>
      <c r="Y4" s="12" t="s">
        <v>11</v>
      </c>
      <c r="Z4" s="12" t="s">
        <v>10</v>
      </c>
      <c r="AA4" s="12" t="s">
        <v>9</v>
      </c>
      <c r="AB4" s="12" t="s">
        <v>8</v>
      </c>
      <c r="AC4" s="12" t="s">
        <v>7</v>
      </c>
      <c r="AD4" s="12" t="s">
        <v>6</v>
      </c>
      <c r="AE4" s="12" t="s">
        <v>5</v>
      </c>
      <c r="AF4" s="12" t="s">
        <v>4</v>
      </c>
      <c r="AG4" s="12" t="s">
        <v>3</v>
      </c>
      <c r="AH4" s="12" t="s">
        <v>2</v>
      </c>
      <c r="AI4" s="12" t="s">
        <v>1</v>
      </c>
      <c r="AJ4" s="12" t="s">
        <v>0</v>
      </c>
    </row>
    <row r="5" spans="3:37" x14ac:dyDescent="0.3">
      <c r="C5" s="12" t="s">
        <v>14</v>
      </c>
      <c r="D5" s="12">
        <v>1</v>
      </c>
      <c r="E5" s="12">
        <v>1</v>
      </c>
      <c r="F5" s="12">
        <v>1</v>
      </c>
      <c r="G5" s="12">
        <v>1</v>
      </c>
      <c r="H5" s="12">
        <v>1</v>
      </c>
      <c r="I5" s="12">
        <v>1</v>
      </c>
      <c r="J5" s="12">
        <v>1</v>
      </c>
      <c r="K5" s="12">
        <v>1</v>
      </c>
      <c r="L5" s="12">
        <v>1</v>
      </c>
      <c r="M5" s="12">
        <v>1</v>
      </c>
      <c r="N5" s="12">
        <v>1</v>
      </c>
      <c r="O5" s="12">
        <v>1</v>
      </c>
      <c r="P5" s="12">
        <v>1</v>
      </c>
      <c r="Q5" s="12">
        <v>1</v>
      </c>
      <c r="R5" s="12">
        <v>1</v>
      </c>
      <c r="S5" s="12">
        <f>SUM(D5:R5)</f>
        <v>15</v>
      </c>
      <c r="U5" s="6">
        <v>1</v>
      </c>
      <c r="V5" s="12">
        <v>1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t="b">
        <f>AND(D5=V5,E5=W5,F5=X5,G5=Y5,H5=Z5,I5=AA5,J5=AB5,K5=AC5,L5=AD5,M5=AE5,N5=AF5,O5=AG5,P5=AH5,Q5=AI5,R5=AJ5)</f>
        <v>0</v>
      </c>
    </row>
    <row r="6" spans="3:37" x14ac:dyDescent="0.3">
      <c r="C6" s="12" t="s">
        <v>13</v>
      </c>
      <c r="D6" s="12">
        <v>0</v>
      </c>
      <c r="E6" s="12">
        <v>1</v>
      </c>
      <c r="F6" s="12">
        <v>0</v>
      </c>
      <c r="G6" s="14">
        <v>1</v>
      </c>
      <c r="H6" s="12">
        <v>0</v>
      </c>
      <c r="I6" s="14">
        <v>1</v>
      </c>
      <c r="J6" s="12">
        <v>1</v>
      </c>
      <c r="K6" s="12">
        <v>0</v>
      </c>
      <c r="L6" s="12">
        <v>1</v>
      </c>
      <c r="M6" s="14">
        <v>1</v>
      </c>
      <c r="N6" s="14">
        <v>1</v>
      </c>
      <c r="O6" s="12">
        <v>1</v>
      </c>
      <c r="P6" s="12">
        <v>1</v>
      </c>
      <c r="Q6" s="12">
        <v>1</v>
      </c>
      <c r="R6" s="12">
        <v>1</v>
      </c>
      <c r="S6" s="12">
        <f t="shared" ref="S6:S19" si="0">SUM(D6:R6)</f>
        <v>11</v>
      </c>
      <c r="U6" s="6">
        <v>2</v>
      </c>
      <c r="V6" s="12">
        <v>1</v>
      </c>
      <c r="W6" s="12">
        <v>1</v>
      </c>
      <c r="X6" s="12">
        <v>0</v>
      </c>
      <c r="Y6" s="12">
        <v>0</v>
      </c>
      <c r="Z6" s="12">
        <v>1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t="b">
        <f t="shared" ref="AK6:AK19" si="1">AND(D6=V6,E6=W6,F6=X6,G6=Y6,H6=Z6,I6=AA6,J6=AB6,K6=AC6,L6=AD6,M6=AE6,N6=AF6,O6=AG6,P6=AH6,Q6=AI6,R6=AJ6)</f>
        <v>0</v>
      </c>
    </row>
    <row r="7" spans="3:37" x14ac:dyDescent="0.3">
      <c r="C7" s="12" t="s">
        <v>12</v>
      </c>
      <c r="D7" s="12">
        <v>0</v>
      </c>
      <c r="E7" s="12">
        <v>0</v>
      </c>
      <c r="F7" s="12">
        <v>1</v>
      </c>
      <c r="G7" s="12">
        <v>1</v>
      </c>
      <c r="H7" s="12">
        <v>0</v>
      </c>
      <c r="I7" s="12">
        <v>1</v>
      </c>
      <c r="J7" s="14">
        <v>1</v>
      </c>
      <c r="K7" s="12">
        <v>0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f t="shared" si="0"/>
        <v>11</v>
      </c>
      <c r="U7" s="6">
        <v>3</v>
      </c>
      <c r="V7" s="12">
        <v>1</v>
      </c>
      <c r="W7" s="12">
        <v>0</v>
      </c>
      <c r="X7" s="12">
        <v>1</v>
      </c>
      <c r="Y7" s="12">
        <v>0</v>
      </c>
      <c r="Z7" s="12">
        <v>1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t="b">
        <f t="shared" si="1"/>
        <v>0</v>
      </c>
    </row>
    <row r="8" spans="3:37" x14ac:dyDescent="0.3">
      <c r="C8" s="12" t="s">
        <v>11</v>
      </c>
      <c r="D8" s="12">
        <v>0</v>
      </c>
      <c r="E8" s="12">
        <v>0</v>
      </c>
      <c r="F8" s="12">
        <v>0</v>
      </c>
      <c r="G8" s="12">
        <v>1</v>
      </c>
      <c r="H8" s="12">
        <v>0</v>
      </c>
      <c r="I8" s="12">
        <v>1</v>
      </c>
      <c r="J8" s="14">
        <v>1</v>
      </c>
      <c r="K8" s="12">
        <v>0</v>
      </c>
      <c r="L8" s="14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f t="shared" si="0"/>
        <v>10</v>
      </c>
      <c r="U8" s="6">
        <v>4</v>
      </c>
      <c r="V8" s="12">
        <v>1</v>
      </c>
      <c r="W8" s="14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4">
        <v>1</v>
      </c>
      <c r="AF8" s="14">
        <v>1</v>
      </c>
      <c r="AG8" s="14">
        <v>1</v>
      </c>
      <c r="AH8" s="14">
        <v>1</v>
      </c>
      <c r="AI8" s="12">
        <v>0</v>
      </c>
      <c r="AJ8" s="12">
        <v>0</v>
      </c>
      <c r="AK8" t="b">
        <f t="shared" si="1"/>
        <v>0</v>
      </c>
    </row>
    <row r="9" spans="3:37" x14ac:dyDescent="0.3">
      <c r="C9" s="12" t="s">
        <v>10</v>
      </c>
      <c r="D9" s="12">
        <v>0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4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2">
        <v>1</v>
      </c>
      <c r="S9" s="12">
        <f t="shared" si="0"/>
        <v>14</v>
      </c>
      <c r="U9" s="6">
        <v>5</v>
      </c>
      <c r="V9" s="12">
        <v>1</v>
      </c>
      <c r="W9" s="12">
        <v>0</v>
      </c>
      <c r="X9" s="12">
        <v>0</v>
      </c>
      <c r="Y9" s="12">
        <v>0</v>
      </c>
      <c r="Z9" s="12">
        <v>1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t="b">
        <f t="shared" si="1"/>
        <v>0</v>
      </c>
    </row>
    <row r="10" spans="3:37" x14ac:dyDescent="0.3">
      <c r="C10" s="12" t="s">
        <v>9</v>
      </c>
      <c r="D10" s="12">
        <v>0</v>
      </c>
      <c r="E10" s="12">
        <v>0</v>
      </c>
      <c r="F10" s="12">
        <v>0</v>
      </c>
      <c r="G10" s="12">
        <v>1</v>
      </c>
      <c r="H10" s="12">
        <v>0</v>
      </c>
      <c r="I10" s="12">
        <v>1</v>
      </c>
      <c r="J10" s="14">
        <v>1</v>
      </c>
      <c r="K10" s="12">
        <v>0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f t="shared" si="0"/>
        <v>10</v>
      </c>
      <c r="U10" s="6">
        <v>6</v>
      </c>
      <c r="V10" s="12">
        <v>1</v>
      </c>
      <c r="W10" s="14">
        <v>1</v>
      </c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4">
        <v>1</v>
      </c>
      <c r="AD10" s="14">
        <v>1</v>
      </c>
      <c r="AE10" s="12">
        <v>1</v>
      </c>
      <c r="AF10" s="12">
        <v>1</v>
      </c>
      <c r="AG10" s="12">
        <v>1</v>
      </c>
      <c r="AH10" s="12">
        <v>1</v>
      </c>
      <c r="AI10" s="12">
        <v>0</v>
      </c>
      <c r="AJ10" s="12">
        <v>0</v>
      </c>
      <c r="AK10" t="b">
        <f t="shared" si="1"/>
        <v>0</v>
      </c>
    </row>
    <row r="11" spans="3:37" x14ac:dyDescent="0.3">
      <c r="C11" s="12" t="s">
        <v>8</v>
      </c>
      <c r="D11" s="12">
        <v>0</v>
      </c>
      <c r="E11" s="12">
        <v>0</v>
      </c>
      <c r="F11" s="12">
        <v>0</v>
      </c>
      <c r="G11" s="12">
        <v>1</v>
      </c>
      <c r="H11" s="12">
        <v>0</v>
      </c>
      <c r="I11" s="12">
        <v>1</v>
      </c>
      <c r="J11" s="12">
        <v>1</v>
      </c>
      <c r="K11" s="12">
        <v>0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2">
        <v>1</v>
      </c>
      <c r="S11" s="12">
        <f t="shared" si="0"/>
        <v>10</v>
      </c>
      <c r="U11" s="6">
        <v>7</v>
      </c>
      <c r="V11" s="12">
        <v>1</v>
      </c>
      <c r="W11" s="12">
        <v>1</v>
      </c>
      <c r="X11" s="14">
        <v>1</v>
      </c>
      <c r="Y11" s="14">
        <v>1</v>
      </c>
      <c r="Z11" s="14">
        <v>1</v>
      </c>
      <c r="AA11" s="14">
        <v>1</v>
      </c>
      <c r="AB11" s="12">
        <v>1</v>
      </c>
      <c r="AC11" s="14">
        <v>1</v>
      </c>
      <c r="AD11" s="14">
        <v>1</v>
      </c>
      <c r="AE11" s="14">
        <v>1</v>
      </c>
      <c r="AF11" s="12">
        <v>1</v>
      </c>
      <c r="AG11" s="12">
        <v>1</v>
      </c>
      <c r="AH11" s="12">
        <v>1</v>
      </c>
      <c r="AI11" s="12">
        <v>0</v>
      </c>
      <c r="AJ11" s="12">
        <v>0</v>
      </c>
      <c r="AK11" t="b">
        <f t="shared" si="1"/>
        <v>0</v>
      </c>
    </row>
    <row r="12" spans="3:37" x14ac:dyDescent="0.3">
      <c r="C12" s="12" t="s">
        <v>7</v>
      </c>
      <c r="D12" s="12">
        <v>0</v>
      </c>
      <c r="E12" s="12">
        <v>0</v>
      </c>
      <c r="F12" s="12">
        <v>0</v>
      </c>
      <c r="G12" s="12">
        <v>1</v>
      </c>
      <c r="H12" s="12">
        <v>0</v>
      </c>
      <c r="I12" s="14">
        <v>1</v>
      </c>
      <c r="J12" s="14">
        <v>1</v>
      </c>
      <c r="K12" s="12">
        <v>1</v>
      </c>
      <c r="L12" s="12">
        <v>1</v>
      </c>
      <c r="M12" s="12">
        <v>1</v>
      </c>
      <c r="N12" s="14">
        <v>1</v>
      </c>
      <c r="O12" s="12">
        <v>1</v>
      </c>
      <c r="P12" s="12">
        <v>1</v>
      </c>
      <c r="Q12" s="12">
        <v>1</v>
      </c>
      <c r="R12" s="12">
        <v>1</v>
      </c>
      <c r="S12" s="12">
        <f t="shared" si="0"/>
        <v>11</v>
      </c>
      <c r="U12" s="6">
        <v>8</v>
      </c>
      <c r="V12" s="12">
        <v>1</v>
      </c>
      <c r="W12" s="12">
        <v>0</v>
      </c>
      <c r="X12" s="12">
        <v>0</v>
      </c>
      <c r="Y12" s="12">
        <v>0</v>
      </c>
      <c r="Z12" s="12">
        <v>1</v>
      </c>
      <c r="AA12" s="12">
        <v>0</v>
      </c>
      <c r="AB12" s="12">
        <v>0</v>
      </c>
      <c r="AC12" s="12">
        <v>1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t="b">
        <f t="shared" si="1"/>
        <v>0</v>
      </c>
    </row>
    <row r="13" spans="3:37" x14ac:dyDescent="0.3">
      <c r="C13" s="12" t="s">
        <v>6</v>
      </c>
      <c r="D13" s="12">
        <v>0</v>
      </c>
      <c r="E13" s="12">
        <v>0</v>
      </c>
      <c r="F13" s="12">
        <v>0</v>
      </c>
      <c r="G13" s="12">
        <v>1</v>
      </c>
      <c r="H13" s="12">
        <v>0</v>
      </c>
      <c r="I13" s="14">
        <v>1</v>
      </c>
      <c r="J13" s="14">
        <v>1</v>
      </c>
      <c r="K13" s="12">
        <v>0</v>
      </c>
      <c r="L13" s="12">
        <v>1</v>
      </c>
      <c r="M13" s="12">
        <v>1</v>
      </c>
      <c r="N13" s="14">
        <v>1</v>
      </c>
      <c r="O13" s="12">
        <v>1</v>
      </c>
      <c r="P13" s="12">
        <v>1</v>
      </c>
      <c r="Q13" s="12">
        <v>1</v>
      </c>
      <c r="R13" s="12">
        <v>1</v>
      </c>
      <c r="S13" s="12">
        <f t="shared" si="0"/>
        <v>10</v>
      </c>
      <c r="U13" s="6">
        <v>9</v>
      </c>
      <c r="V13" s="12">
        <v>1</v>
      </c>
      <c r="W13" s="12">
        <v>1</v>
      </c>
      <c r="X13" s="12">
        <v>1</v>
      </c>
      <c r="Y13" s="14">
        <v>1</v>
      </c>
      <c r="Z13" s="12">
        <v>1</v>
      </c>
      <c r="AA13" s="12">
        <v>1</v>
      </c>
      <c r="AB13" s="12">
        <v>1</v>
      </c>
      <c r="AC13" s="12">
        <v>1</v>
      </c>
      <c r="AD13" s="12">
        <v>1</v>
      </c>
      <c r="AE13" s="14">
        <v>1</v>
      </c>
      <c r="AF13" s="12">
        <v>1</v>
      </c>
      <c r="AG13" s="12">
        <v>1</v>
      </c>
      <c r="AH13" s="12">
        <v>1</v>
      </c>
      <c r="AI13" s="12">
        <v>0</v>
      </c>
      <c r="AJ13" s="12">
        <v>0</v>
      </c>
      <c r="AK13" t="b">
        <f t="shared" si="1"/>
        <v>0</v>
      </c>
    </row>
    <row r="14" spans="3:37" x14ac:dyDescent="0.3">
      <c r="C14" s="12" t="s">
        <v>5</v>
      </c>
      <c r="D14" s="12">
        <v>0</v>
      </c>
      <c r="E14" s="12">
        <v>0</v>
      </c>
      <c r="F14" s="12">
        <v>0</v>
      </c>
      <c r="G14" s="14">
        <v>1</v>
      </c>
      <c r="H14" s="12">
        <v>0</v>
      </c>
      <c r="I14" s="12">
        <v>1</v>
      </c>
      <c r="J14" s="14">
        <v>1</v>
      </c>
      <c r="K14" s="12">
        <v>0</v>
      </c>
      <c r="L14" s="14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2">
        <v>1</v>
      </c>
      <c r="S14" s="12">
        <f t="shared" si="0"/>
        <v>10</v>
      </c>
      <c r="U14" s="6">
        <v>10</v>
      </c>
      <c r="V14" s="12">
        <v>1</v>
      </c>
      <c r="W14" s="14">
        <v>1</v>
      </c>
      <c r="X14" s="12">
        <v>1</v>
      </c>
      <c r="Y14" s="12">
        <v>1</v>
      </c>
      <c r="Z14" s="12">
        <v>1</v>
      </c>
      <c r="AA14" s="12">
        <v>1</v>
      </c>
      <c r="AB14" s="12">
        <v>1</v>
      </c>
      <c r="AC14" s="12">
        <v>1</v>
      </c>
      <c r="AD14" s="12">
        <v>1</v>
      </c>
      <c r="AE14" s="12">
        <v>1</v>
      </c>
      <c r="AF14" s="12">
        <v>1</v>
      </c>
      <c r="AG14" s="12">
        <v>1</v>
      </c>
      <c r="AH14" s="12">
        <v>1</v>
      </c>
      <c r="AI14" s="12">
        <v>0</v>
      </c>
      <c r="AJ14" s="12">
        <v>0</v>
      </c>
      <c r="AK14" t="b">
        <f t="shared" si="1"/>
        <v>0</v>
      </c>
    </row>
    <row r="15" spans="3:37" x14ac:dyDescent="0.3">
      <c r="C15" s="12" t="s">
        <v>4</v>
      </c>
      <c r="D15" s="12">
        <v>0</v>
      </c>
      <c r="E15" s="12">
        <v>0</v>
      </c>
      <c r="F15" s="12">
        <v>0</v>
      </c>
      <c r="G15" s="14">
        <v>1</v>
      </c>
      <c r="H15" s="12">
        <v>0</v>
      </c>
      <c r="I15" s="12">
        <v>1</v>
      </c>
      <c r="J15" s="12">
        <v>1</v>
      </c>
      <c r="K15" s="12">
        <v>0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2">
        <v>1</v>
      </c>
      <c r="S15" s="12">
        <f t="shared" si="0"/>
        <v>10</v>
      </c>
      <c r="U15" s="6">
        <v>11</v>
      </c>
      <c r="V15" s="12">
        <v>1</v>
      </c>
      <c r="W15" s="14">
        <v>1</v>
      </c>
      <c r="X15" s="12">
        <v>1</v>
      </c>
      <c r="Y15" s="12">
        <v>1</v>
      </c>
      <c r="Z15" s="12">
        <v>1</v>
      </c>
      <c r="AA15" s="12">
        <v>1</v>
      </c>
      <c r="AB15" s="12">
        <v>1</v>
      </c>
      <c r="AC15" s="14">
        <v>1</v>
      </c>
      <c r="AD15" s="14">
        <v>1</v>
      </c>
      <c r="AE15" s="12">
        <v>1</v>
      </c>
      <c r="AF15" s="12">
        <v>1</v>
      </c>
      <c r="AG15" s="12">
        <v>1</v>
      </c>
      <c r="AH15" s="14">
        <v>1</v>
      </c>
      <c r="AI15" s="12">
        <v>0</v>
      </c>
      <c r="AJ15" s="12">
        <v>0</v>
      </c>
      <c r="AK15" t="b">
        <f t="shared" si="1"/>
        <v>0</v>
      </c>
    </row>
    <row r="16" spans="3:37" x14ac:dyDescent="0.3">
      <c r="C16" s="12" t="s">
        <v>3</v>
      </c>
      <c r="D16" s="12">
        <v>0</v>
      </c>
      <c r="E16" s="12">
        <v>0</v>
      </c>
      <c r="F16" s="12">
        <v>0</v>
      </c>
      <c r="G16" s="14">
        <v>1</v>
      </c>
      <c r="H16" s="12">
        <v>0</v>
      </c>
      <c r="I16" s="12">
        <v>1</v>
      </c>
      <c r="J16" s="12">
        <v>1</v>
      </c>
      <c r="K16" s="12">
        <v>0</v>
      </c>
      <c r="L16" s="12">
        <v>1</v>
      </c>
      <c r="M16" s="12">
        <v>1</v>
      </c>
      <c r="N16" s="12">
        <v>1</v>
      </c>
      <c r="O16" s="12">
        <v>1</v>
      </c>
      <c r="P16" s="12">
        <v>1</v>
      </c>
      <c r="Q16" s="12">
        <v>1</v>
      </c>
      <c r="R16" s="12">
        <v>1</v>
      </c>
      <c r="S16" s="12">
        <f t="shared" si="0"/>
        <v>10</v>
      </c>
      <c r="U16" s="6">
        <v>12</v>
      </c>
      <c r="V16" s="12">
        <v>1</v>
      </c>
      <c r="W16" s="12">
        <v>1</v>
      </c>
      <c r="X16" s="12">
        <v>1</v>
      </c>
      <c r="Y16" s="12">
        <v>1</v>
      </c>
      <c r="Z16" s="12">
        <v>1</v>
      </c>
      <c r="AA16" s="12">
        <v>1</v>
      </c>
      <c r="AB16" s="12">
        <v>1</v>
      </c>
      <c r="AC16" s="12">
        <v>1</v>
      </c>
      <c r="AD16" s="12">
        <v>1</v>
      </c>
      <c r="AE16" s="12">
        <v>1</v>
      </c>
      <c r="AF16" s="12">
        <v>1</v>
      </c>
      <c r="AG16" s="12">
        <v>1</v>
      </c>
      <c r="AH16" s="12">
        <v>1</v>
      </c>
      <c r="AI16" s="12">
        <v>0</v>
      </c>
      <c r="AJ16" s="12">
        <v>0</v>
      </c>
      <c r="AK16" t="b">
        <f t="shared" si="1"/>
        <v>0</v>
      </c>
    </row>
    <row r="17" spans="3:37" x14ac:dyDescent="0.3">
      <c r="C17" s="12" t="s">
        <v>2</v>
      </c>
      <c r="D17" s="12">
        <v>0</v>
      </c>
      <c r="E17" s="12">
        <v>0</v>
      </c>
      <c r="F17" s="12">
        <v>0</v>
      </c>
      <c r="G17" s="14">
        <v>1</v>
      </c>
      <c r="H17" s="12">
        <v>0</v>
      </c>
      <c r="I17" s="12">
        <v>1</v>
      </c>
      <c r="J17" s="12">
        <v>1</v>
      </c>
      <c r="K17" s="12">
        <v>0</v>
      </c>
      <c r="L17" s="12">
        <v>1</v>
      </c>
      <c r="M17" s="12">
        <v>1</v>
      </c>
      <c r="N17" s="14">
        <v>1</v>
      </c>
      <c r="O17" s="12">
        <v>1</v>
      </c>
      <c r="P17" s="12">
        <v>1</v>
      </c>
      <c r="Q17" s="12">
        <v>1</v>
      </c>
      <c r="R17" s="12">
        <v>1</v>
      </c>
      <c r="S17" s="12">
        <f t="shared" si="0"/>
        <v>10</v>
      </c>
      <c r="U17" s="6">
        <v>13</v>
      </c>
      <c r="V17" s="12">
        <v>1</v>
      </c>
      <c r="W17" s="12">
        <v>1</v>
      </c>
      <c r="X17" s="12">
        <v>1</v>
      </c>
      <c r="Y17" s="12">
        <v>1</v>
      </c>
      <c r="Z17" s="12">
        <v>1</v>
      </c>
      <c r="AA17" s="12">
        <v>1</v>
      </c>
      <c r="AB17" s="12">
        <v>1</v>
      </c>
      <c r="AC17" s="12">
        <v>1</v>
      </c>
      <c r="AD17" s="12">
        <v>1</v>
      </c>
      <c r="AE17" s="12">
        <v>1</v>
      </c>
      <c r="AF17" s="12">
        <v>1</v>
      </c>
      <c r="AG17" s="12">
        <v>1</v>
      </c>
      <c r="AH17" s="12">
        <v>1</v>
      </c>
      <c r="AI17" s="12">
        <v>0</v>
      </c>
      <c r="AJ17" s="12">
        <v>0</v>
      </c>
      <c r="AK17" t="b">
        <f t="shared" si="1"/>
        <v>0</v>
      </c>
    </row>
    <row r="18" spans="3:37" x14ac:dyDescent="0.3">
      <c r="C18" s="12" t="s">
        <v>1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1</v>
      </c>
      <c r="R18" s="12">
        <v>1</v>
      </c>
      <c r="S18" s="12">
        <f t="shared" si="0"/>
        <v>2</v>
      </c>
      <c r="U18" s="6">
        <v>14</v>
      </c>
      <c r="V18" s="12">
        <v>1</v>
      </c>
      <c r="W18" s="12">
        <v>1</v>
      </c>
      <c r="X18" s="12">
        <v>1</v>
      </c>
      <c r="Y18" s="12">
        <v>1</v>
      </c>
      <c r="Z18" s="12">
        <v>1</v>
      </c>
      <c r="AA18" s="12">
        <v>1</v>
      </c>
      <c r="AB18" s="12">
        <v>1</v>
      </c>
      <c r="AC18" s="12">
        <v>1</v>
      </c>
      <c r="AD18" s="12">
        <v>1</v>
      </c>
      <c r="AE18" s="12">
        <v>1</v>
      </c>
      <c r="AF18" s="12">
        <v>1</v>
      </c>
      <c r="AG18" s="12">
        <v>1</v>
      </c>
      <c r="AH18" s="12">
        <v>1</v>
      </c>
      <c r="AI18" s="12">
        <v>1</v>
      </c>
      <c r="AJ18" s="12">
        <v>0</v>
      </c>
      <c r="AK18" t="b">
        <f t="shared" si="1"/>
        <v>0</v>
      </c>
    </row>
    <row r="19" spans="3:37" x14ac:dyDescent="0.3">
      <c r="C19" s="12" t="s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1</v>
      </c>
      <c r="S19" s="12">
        <f t="shared" si="0"/>
        <v>1</v>
      </c>
      <c r="U19" s="6">
        <v>15</v>
      </c>
      <c r="V19" s="12">
        <v>1</v>
      </c>
      <c r="W19" s="12">
        <v>1</v>
      </c>
      <c r="X19" s="12">
        <v>1</v>
      </c>
      <c r="Y19" s="12">
        <v>1</v>
      </c>
      <c r="Z19" s="12">
        <v>1</v>
      </c>
      <c r="AA19" s="12">
        <v>1</v>
      </c>
      <c r="AB19" s="12">
        <v>1</v>
      </c>
      <c r="AC19" s="12">
        <v>1</v>
      </c>
      <c r="AD19" s="12">
        <v>1</v>
      </c>
      <c r="AE19" s="12">
        <v>1</v>
      </c>
      <c r="AF19" s="12">
        <v>1</v>
      </c>
      <c r="AG19" s="12">
        <v>1</v>
      </c>
      <c r="AH19" s="12">
        <v>1</v>
      </c>
      <c r="AI19" s="12">
        <v>1</v>
      </c>
      <c r="AJ19" s="12">
        <v>1</v>
      </c>
      <c r="AK19" t="b">
        <f t="shared" si="1"/>
        <v>0</v>
      </c>
    </row>
    <row r="20" spans="3:37" x14ac:dyDescent="0.3">
      <c r="C20" s="12" t="s">
        <v>18</v>
      </c>
      <c r="D20" s="12">
        <f>SUM(D5:D19)</f>
        <v>1</v>
      </c>
      <c r="E20" s="12">
        <f t="shared" ref="E20:R20" si="2">SUM(E5:E19)</f>
        <v>3</v>
      </c>
      <c r="F20" s="12">
        <f t="shared" si="2"/>
        <v>3</v>
      </c>
      <c r="G20" s="12">
        <f t="shared" si="2"/>
        <v>13</v>
      </c>
      <c r="H20" s="12">
        <f t="shared" si="2"/>
        <v>2</v>
      </c>
      <c r="I20" s="12">
        <f t="shared" si="2"/>
        <v>13</v>
      </c>
      <c r="J20" s="12">
        <f t="shared" si="2"/>
        <v>13</v>
      </c>
      <c r="K20" s="12">
        <f t="shared" si="2"/>
        <v>3</v>
      </c>
      <c r="L20" s="12">
        <f t="shared" si="2"/>
        <v>13</v>
      </c>
      <c r="M20" s="12">
        <f t="shared" si="2"/>
        <v>13</v>
      </c>
      <c r="N20" s="12">
        <f t="shared" si="2"/>
        <v>13</v>
      </c>
      <c r="O20" s="12">
        <f t="shared" si="2"/>
        <v>13</v>
      </c>
      <c r="P20" s="12">
        <f t="shared" si="2"/>
        <v>13</v>
      </c>
      <c r="Q20" s="12">
        <f t="shared" si="2"/>
        <v>14</v>
      </c>
      <c r="R20" s="12">
        <f t="shared" si="2"/>
        <v>15</v>
      </c>
      <c r="S20" s="12"/>
    </row>
    <row r="21" spans="3:37" x14ac:dyDescent="0.3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U21" s="6" t="s">
        <v>16</v>
      </c>
      <c r="V21" s="12" t="s">
        <v>14</v>
      </c>
      <c r="W21" s="12" t="s">
        <v>13</v>
      </c>
      <c r="X21" s="12" t="s">
        <v>12</v>
      </c>
      <c r="Y21" s="12" t="s">
        <v>11</v>
      </c>
      <c r="Z21" s="12" t="s">
        <v>10</v>
      </c>
      <c r="AA21" s="12" t="s">
        <v>9</v>
      </c>
      <c r="AB21" s="12" t="s">
        <v>8</v>
      </c>
      <c r="AC21" s="12" t="s">
        <v>7</v>
      </c>
      <c r="AD21" s="12" t="s">
        <v>6</v>
      </c>
      <c r="AE21" s="12" t="s">
        <v>5</v>
      </c>
      <c r="AF21" s="12" t="s">
        <v>4</v>
      </c>
      <c r="AG21" s="12" t="s">
        <v>3</v>
      </c>
      <c r="AH21" s="12" t="s">
        <v>2</v>
      </c>
      <c r="AI21" s="12" t="s">
        <v>1</v>
      </c>
      <c r="AJ21" s="12" t="s">
        <v>0</v>
      </c>
    </row>
    <row r="22" spans="3:37" x14ac:dyDescent="0.3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U22" s="6">
        <v>1</v>
      </c>
      <c r="V22" s="12">
        <f>D5-V5</f>
        <v>0</v>
      </c>
      <c r="W22" s="12">
        <f t="shared" ref="W22:AJ22" si="3">E5-W5</f>
        <v>1</v>
      </c>
      <c r="X22" s="12">
        <f t="shared" si="3"/>
        <v>1</v>
      </c>
      <c r="Y22" s="12">
        <f t="shared" si="3"/>
        <v>1</v>
      </c>
      <c r="Z22" s="12">
        <f t="shared" si="3"/>
        <v>1</v>
      </c>
      <c r="AA22" s="12">
        <f t="shared" si="3"/>
        <v>1</v>
      </c>
      <c r="AB22" s="12">
        <f t="shared" si="3"/>
        <v>1</v>
      </c>
      <c r="AC22" s="12">
        <f t="shared" si="3"/>
        <v>1</v>
      </c>
      <c r="AD22" s="12">
        <f t="shared" si="3"/>
        <v>1</v>
      </c>
      <c r="AE22" s="12">
        <f t="shared" si="3"/>
        <v>1</v>
      </c>
      <c r="AF22" s="12">
        <f t="shared" si="3"/>
        <v>1</v>
      </c>
      <c r="AG22" s="12">
        <f t="shared" si="3"/>
        <v>1</v>
      </c>
      <c r="AH22" s="12">
        <f t="shared" si="3"/>
        <v>1</v>
      </c>
      <c r="AI22" s="12">
        <f t="shared" si="3"/>
        <v>1</v>
      </c>
      <c r="AJ22" s="12">
        <f t="shared" si="3"/>
        <v>1</v>
      </c>
    </row>
    <row r="23" spans="3:37" x14ac:dyDescent="0.3"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U23" s="6">
        <v>2</v>
      </c>
      <c r="V23" s="12">
        <f t="shared" ref="V23:V36" si="4">D6-V6</f>
        <v>-1</v>
      </c>
      <c r="W23" s="12">
        <f t="shared" ref="W23:W36" si="5">E6-W6</f>
        <v>0</v>
      </c>
      <c r="X23" s="12">
        <f t="shared" ref="X23:X36" si="6">F6-X6</f>
        <v>0</v>
      </c>
      <c r="Y23" s="12">
        <f t="shared" ref="Y23:Y36" si="7">G6-Y6</f>
        <v>1</v>
      </c>
      <c r="Z23" s="12">
        <f t="shared" ref="Z23:Z36" si="8">H6-Z6</f>
        <v>-1</v>
      </c>
      <c r="AA23" s="12">
        <f t="shared" ref="AA23:AA36" si="9">I6-AA6</f>
        <v>1</v>
      </c>
      <c r="AB23" s="12">
        <f t="shared" ref="AB23:AB36" si="10">J6-AB6</f>
        <v>1</v>
      </c>
      <c r="AC23" s="12">
        <f t="shared" ref="AC23:AC36" si="11">K6-AC6</f>
        <v>0</v>
      </c>
      <c r="AD23" s="12">
        <f t="shared" ref="AD23:AD36" si="12">L6-AD6</f>
        <v>1</v>
      </c>
      <c r="AE23" s="12">
        <f t="shared" ref="AE23:AE36" si="13">M6-AE6</f>
        <v>1</v>
      </c>
      <c r="AF23" s="12">
        <f t="shared" ref="AF23:AF36" si="14">N6-AF6</f>
        <v>1</v>
      </c>
      <c r="AG23" s="12">
        <f t="shared" ref="AG23:AG36" si="15">O6-AG6</f>
        <v>1</v>
      </c>
      <c r="AH23" s="12">
        <f t="shared" ref="AH23:AH36" si="16">P6-AH6</f>
        <v>1</v>
      </c>
      <c r="AI23" s="12">
        <f t="shared" ref="AI23:AI36" si="17">Q6-AI6</f>
        <v>1</v>
      </c>
      <c r="AJ23" s="12">
        <f t="shared" ref="AJ23:AJ36" si="18">R6-AJ6</f>
        <v>1</v>
      </c>
    </row>
    <row r="24" spans="3:37" x14ac:dyDescent="0.3"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U24" s="6">
        <v>3</v>
      </c>
      <c r="V24" s="12">
        <f t="shared" si="4"/>
        <v>-1</v>
      </c>
      <c r="W24" s="12">
        <f t="shared" si="5"/>
        <v>0</v>
      </c>
      <c r="X24" s="12">
        <f t="shared" si="6"/>
        <v>0</v>
      </c>
      <c r="Y24" s="12">
        <f t="shared" si="7"/>
        <v>1</v>
      </c>
      <c r="Z24" s="12">
        <f t="shared" si="8"/>
        <v>-1</v>
      </c>
      <c r="AA24" s="12">
        <f t="shared" si="9"/>
        <v>1</v>
      </c>
      <c r="AB24" s="12">
        <f t="shared" si="10"/>
        <v>1</v>
      </c>
      <c r="AC24" s="12">
        <f t="shared" si="11"/>
        <v>0</v>
      </c>
      <c r="AD24" s="12">
        <f t="shared" si="12"/>
        <v>1</v>
      </c>
      <c r="AE24" s="12">
        <f t="shared" si="13"/>
        <v>1</v>
      </c>
      <c r="AF24" s="12">
        <f t="shared" si="14"/>
        <v>1</v>
      </c>
      <c r="AG24" s="12">
        <f t="shared" si="15"/>
        <v>1</v>
      </c>
      <c r="AH24" s="12">
        <f t="shared" si="16"/>
        <v>1</v>
      </c>
      <c r="AI24" s="12">
        <f t="shared" si="17"/>
        <v>1</v>
      </c>
      <c r="AJ24" s="12">
        <f t="shared" si="18"/>
        <v>1</v>
      </c>
    </row>
    <row r="25" spans="3:37" x14ac:dyDescent="0.3"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U25" s="6">
        <v>4</v>
      </c>
      <c r="V25" s="12">
        <f t="shared" si="4"/>
        <v>-1</v>
      </c>
      <c r="W25" s="12">
        <f t="shared" si="5"/>
        <v>-1</v>
      </c>
      <c r="X25" s="12">
        <f t="shared" si="6"/>
        <v>-1</v>
      </c>
      <c r="Y25" s="12">
        <f t="shared" si="7"/>
        <v>0</v>
      </c>
      <c r="Z25" s="12">
        <f t="shared" si="8"/>
        <v>-1</v>
      </c>
      <c r="AA25" s="12">
        <f t="shared" si="9"/>
        <v>0</v>
      </c>
      <c r="AB25" s="12">
        <f t="shared" si="10"/>
        <v>0</v>
      </c>
      <c r="AC25" s="12">
        <f t="shared" si="11"/>
        <v>-1</v>
      </c>
      <c r="AD25" s="12">
        <f t="shared" si="12"/>
        <v>0</v>
      </c>
      <c r="AE25" s="12">
        <f t="shared" si="13"/>
        <v>0</v>
      </c>
      <c r="AF25" s="12">
        <f t="shared" si="14"/>
        <v>0</v>
      </c>
      <c r="AG25" s="12">
        <f t="shared" si="15"/>
        <v>0</v>
      </c>
      <c r="AH25" s="12">
        <f t="shared" si="16"/>
        <v>0</v>
      </c>
      <c r="AI25" s="12">
        <f t="shared" si="17"/>
        <v>1</v>
      </c>
      <c r="AJ25" s="12">
        <f t="shared" si="18"/>
        <v>1</v>
      </c>
    </row>
    <row r="26" spans="3:37" x14ac:dyDescent="0.3"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U26" s="6">
        <v>5</v>
      </c>
      <c r="V26" s="12">
        <f t="shared" si="4"/>
        <v>-1</v>
      </c>
      <c r="W26" s="12">
        <f t="shared" si="5"/>
        <v>1</v>
      </c>
      <c r="X26" s="12">
        <f t="shared" si="6"/>
        <v>1</v>
      </c>
      <c r="Y26" s="12">
        <f t="shared" si="7"/>
        <v>1</v>
      </c>
      <c r="Z26" s="12">
        <f t="shared" si="8"/>
        <v>0</v>
      </c>
      <c r="AA26" s="12">
        <f t="shared" si="9"/>
        <v>1</v>
      </c>
      <c r="AB26" s="12">
        <f t="shared" si="10"/>
        <v>1</v>
      </c>
      <c r="AC26" s="12">
        <f t="shared" si="11"/>
        <v>1</v>
      </c>
      <c r="AD26" s="12">
        <f t="shared" si="12"/>
        <v>1</v>
      </c>
      <c r="AE26" s="12">
        <f t="shared" si="13"/>
        <v>1</v>
      </c>
      <c r="AF26" s="12">
        <f t="shared" si="14"/>
        <v>1</v>
      </c>
      <c r="AG26" s="12">
        <f t="shared" si="15"/>
        <v>1</v>
      </c>
      <c r="AH26" s="12">
        <f t="shared" si="16"/>
        <v>1</v>
      </c>
      <c r="AI26" s="12">
        <f t="shared" si="17"/>
        <v>1</v>
      </c>
      <c r="AJ26" s="12">
        <f t="shared" si="18"/>
        <v>1</v>
      </c>
    </row>
    <row r="27" spans="3:37" x14ac:dyDescent="0.3"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U27" s="6">
        <v>6</v>
      </c>
      <c r="V27" s="12">
        <f t="shared" si="4"/>
        <v>-1</v>
      </c>
      <c r="W27" s="12">
        <f t="shared" si="5"/>
        <v>-1</v>
      </c>
      <c r="X27" s="12">
        <f t="shared" si="6"/>
        <v>-1</v>
      </c>
      <c r="Y27" s="12">
        <f t="shared" si="7"/>
        <v>0</v>
      </c>
      <c r="Z27" s="12">
        <f t="shared" si="8"/>
        <v>-1</v>
      </c>
      <c r="AA27" s="12">
        <f t="shared" si="9"/>
        <v>0</v>
      </c>
      <c r="AB27" s="12">
        <f t="shared" si="10"/>
        <v>0</v>
      </c>
      <c r="AC27" s="12">
        <f t="shared" si="11"/>
        <v>-1</v>
      </c>
      <c r="AD27" s="12">
        <f t="shared" si="12"/>
        <v>0</v>
      </c>
      <c r="AE27" s="12">
        <f t="shared" si="13"/>
        <v>0</v>
      </c>
      <c r="AF27" s="12">
        <f t="shared" si="14"/>
        <v>0</v>
      </c>
      <c r="AG27" s="12">
        <f t="shared" si="15"/>
        <v>0</v>
      </c>
      <c r="AH27" s="12">
        <f t="shared" si="16"/>
        <v>0</v>
      </c>
      <c r="AI27" s="12">
        <f t="shared" si="17"/>
        <v>1</v>
      </c>
      <c r="AJ27" s="12">
        <f t="shared" si="18"/>
        <v>1</v>
      </c>
    </row>
    <row r="28" spans="3:37" x14ac:dyDescent="0.3"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U28" s="6">
        <v>7</v>
      </c>
      <c r="V28" s="12">
        <f t="shared" si="4"/>
        <v>-1</v>
      </c>
      <c r="W28" s="12">
        <f t="shared" si="5"/>
        <v>-1</v>
      </c>
      <c r="X28" s="12">
        <f t="shared" si="6"/>
        <v>-1</v>
      </c>
      <c r="Y28" s="12">
        <f t="shared" si="7"/>
        <v>0</v>
      </c>
      <c r="Z28" s="12">
        <f t="shared" si="8"/>
        <v>-1</v>
      </c>
      <c r="AA28" s="12">
        <f t="shared" si="9"/>
        <v>0</v>
      </c>
      <c r="AB28" s="12">
        <f t="shared" si="10"/>
        <v>0</v>
      </c>
      <c r="AC28" s="12">
        <f t="shared" si="11"/>
        <v>-1</v>
      </c>
      <c r="AD28" s="12">
        <f t="shared" si="12"/>
        <v>0</v>
      </c>
      <c r="AE28" s="12">
        <f t="shared" si="13"/>
        <v>0</v>
      </c>
      <c r="AF28" s="12">
        <f t="shared" si="14"/>
        <v>0</v>
      </c>
      <c r="AG28" s="12">
        <f t="shared" si="15"/>
        <v>0</v>
      </c>
      <c r="AH28" s="12">
        <f t="shared" si="16"/>
        <v>0</v>
      </c>
      <c r="AI28" s="12">
        <f t="shared" si="17"/>
        <v>1</v>
      </c>
      <c r="AJ28" s="12">
        <f t="shared" si="18"/>
        <v>1</v>
      </c>
    </row>
    <row r="29" spans="3:37" x14ac:dyDescent="0.3"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U29" s="6">
        <v>8</v>
      </c>
      <c r="V29" s="12">
        <f t="shared" si="4"/>
        <v>-1</v>
      </c>
      <c r="W29" s="12">
        <f t="shared" si="5"/>
        <v>0</v>
      </c>
      <c r="X29" s="12">
        <f t="shared" si="6"/>
        <v>0</v>
      </c>
      <c r="Y29" s="12">
        <f t="shared" si="7"/>
        <v>1</v>
      </c>
      <c r="Z29" s="12">
        <f t="shared" si="8"/>
        <v>-1</v>
      </c>
      <c r="AA29" s="12">
        <f t="shared" si="9"/>
        <v>1</v>
      </c>
      <c r="AB29" s="12">
        <f t="shared" si="10"/>
        <v>1</v>
      </c>
      <c r="AC29" s="12">
        <f t="shared" si="11"/>
        <v>0</v>
      </c>
      <c r="AD29" s="12">
        <f t="shared" si="12"/>
        <v>1</v>
      </c>
      <c r="AE29" s="12">
        <f t="shared" si="13"/>
        <v>1</v>
      </c>
      <c r="AF29" s="12">
        <f t="shared" si="14"/>
        <v>1</v>
      </c>
      <c r="AG29" s="12">
        <f t="shared" si="15"/>
        <v>1</v>
      </c>
      <c r="AH29" s="12">
        <f t="shared" si="16"/>
        <v>1</v>
      </c>
      <c r="AI29" s="12">
        <f t="shared" si="17"/>
        <v>1</v>
      </c>
      <c r="AJ29" s="12">
        <f t="shared" si="18"/>
        <v>1</v>
      </c>
    </row>
    <row r="30" spans="3:37" x14ac:dyDescent="0.3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U30" s="6">
        <v>9</v>
      </c>
      <c r="V30" s="12">
        <f t="shared" si="4"/>
        <v>-1</v>
      </c>
      <c r="W30" s="12">
        <f t="shared" si="5"/>
        <v>-1</v>
      </c>
      <c r="X30" s="12">
        <f t="shared" si="6"/>
        <v>-1</v>
      </c>
      <c r="Y30" s="12">
        <f t="shared" si="7"/>
        <v>0</v>
      </c>
      <c r="Z30" s="12">
        <f t="shared" si="8"/>
        <v>-1</v>
      </c>
      <c r="AA30" s="12">
        <f t="shared" si="9"/>
        <v>0</v>
      </c>
      <c r="AB30" s="12">
        <f t="shared" si="10"/>
        <v>0</v>
      </c>
      <c r="AC30" s="12">
        <f t="shared" si="11"/>
        <v>-1</v>
      </c>
      <c r="AD30" s="12">
        <f t="shared" si="12"/>
        <v>0</v>
      </c>
      <c r="AE30" s="12">
        <f t="shared" si="13"/>
        <v>0</v>
      </c>
      <c r="AF30" s="12">
        <f t="shared" si="14"/>
        <v>0</v>
      </c>
      <c r="AG30" s="12">
        <f t="shared" si="15"/>
        <v>0</v>
      </c>
      <c r="AH30" s="12">
        <f t="shared" si="16"/>
        <v>0</v>
      </c>
      <c r="AI30" s="12">
        <f t="shared" si="17"/>
        <v>1</v>
      </c>
      <c r="AJ30" s="12">
        <f t="shared" si="18"/>
        <v>1</v>
      </c>
    </row>
    <row r="31" spans="3:37" x14ac:dyDescent="0.3"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U31" s="6">
        <v>10</v>
      </c>
      <c r="V31" s="12">
        <f t="shared" si="4"/>
        <v>-1</v>
      </c>
      <c r="W31" s="12">
        <f t="shared" si="5"/>
        <v>-1</v>
      </c>
      <c r="X31" s="12">
        <f t="shared" si="6"/>
        <v>-1</v>
      </c>
      <c r="Y31" s="12">
        <f t="shared" si="7"/>
        <v>0</v>
      </c>
      <c r="Z31" s="12">
        <f t="shared" si="8"/>
        <v>-1</v>
      </c>
      <c r="AA31" s="12">
        <f t="shared" si="9"/>
        <v>0</v>
      </c>
      <c r="AB31" s="12">
        <f t="shared" si="10"/>
        <v>0</v>
      </c>
      <c r="AC31" s="12">
        <f t="shared" si="11"/>
        <v>-1</v>
      </c>
      <c r="AD31" s="12">
        <f t="shared" si="12"/>
        <v>0</v>
      </c>
      <c r="AE31" s="12">
        <f t="shared" si="13"/>
        <v>0</v>
      </c>
      <c r="AF31" s="12">
        <f t="shared" si="14"/>
        <v>0</v>
      </c>
      <c r="AG31" s="12">
        <f t="shared" si="15"/>
        <v>0</v>
      </c>
      <c r="AH31" s="12">
        <f t="shared" si="16"/>
        <v>0</v>
      </c>
      <c r="AI31" s="12">
        <f t="shared" si="17"/>
        <v>1</v>
      </c>
      <c r="AJ31" s="12">
        <f t="shared" si="18"/>
        <v>1</v>
      </c>
    </row>
    <row r="32" spans="3:37" x14ac:dyDescent="0.3"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U32" s="6">
        <v>11</v>
      </c>
      <c r="V32" s="12">
        <f t="shared" si="4"/>
        <v>-1</v>
      </c>
      <c r="W32" s="12">
        <f t="shared" si="5"/>
        <v>-1</v>
      </c>
      <c r="X32" s="12">
        <f t="shared" si="6"/>
        <v>-1</v>
      </c>
      <c r="Y32" s="12">
        <f t="shared" si="7"/>
        <v>0</v>
      </c>
      <c r="Z32" s="12">
        <f t="shared" si="8"/>
        <v>-1</v>
      </c>
      <c r="AA32" s="12">
        <f t="shared" si="9"/>
        <v>0</v>
      </c>
      <c r="AB32" s="12">
        <f t="shared" si="10"/>
        <v>0</v>
      </c>
      <c r="AC32" s="12">
        <f t="shared" si="11"/>
        <v>-1</v>
      </c>
      <c r="AD32" s="12">
        <f t="shared" si="12"/>
        <v>0</v>
      </c>
      <c r="AE32" s="12">
        <f t="shared" si="13"/>
        <v>0</v>
      </c>
      <c r="AF32" s="12">
        <f t="shared" si="14"/>
        <v>0</v>
      </c>
      <c r="AG32" s="12">
        <f t="shared" si="15"/>
        <v>0</v>
      </c>
      <c r="AH32" s="12">
        <f t="shared" si="16"/>
        <v>0</v>
      </c>
      <c r="AI32" s="12">
        <f t="shared" si="17"/>
        <v>1</v>
      </c>
      <c r="AJ32" s="12">
        <f t="shared" si="18"/>
        <v>1</v>
      </c>
    </row>
    <row r="33" spans="3:37" x14ac:dyDescent="0.3"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U33" s="6">
        <v>12</v>
      </c>
      <c r="V33" s="12">
        <f t="shared" si="4"/>
        <v>-1</v>
      </c>
      <c r="W33" s="12">
        <f t="shared" si="5"/>
        <v>-1</v>
      </c>
      <c r="X33" s="12">
        <f t="shared" si="6"/>
        <v>-1</v>
      </c>
      <c r="Y33" s="12">
        <f t="shared" si="7"/>
        <v>0</v>
      </c>
      <c r="Z33" s="12">
        <f t="shared" si="8"/>
        <v>-1</v>
      </c>
      <c r="AA33" s="12">
        <f t="shared" si="9"/>
        <v>0</v>
      </c>
      <c r="AB33" s="12">
        <f t="shared" si="10"/>
        <v>0</v>
      </c>
      <c r="AC33" s="12">
        <f t="shared" si="11"/>
        <v>-1</v>
      </c>
      <c r="AD33" s="12">
        <f t="shared" si="12"/>
        <v>0</v>
      </c>
      <c r="AE33" s="12">
        <f t="shared" si="13"/>
        <v>0</v>
      </c>
      <c r="AF33" s="12">
        <f t="shared" si="14"/>
        <v>0</v>
      </c>
      <c r="AG33" s="12">
        <f t="shared" si="15"/>
        <v>0</v>
      </c>
      <c r="AH33" s="12">
        <f t="shared" si="16"/>
        <v>0</v>
      </c>
      <c r="AI33" s="12">
        <f t="shared" si="17"/>
        <v>1</v>
      </c>
      <c r="AJ33" s="12">
        <f t="shared" si="18"/>
        <v>1</v>
      </c>
    </row>
    <row r="34" spans="3:37" x14ac:dyDescent="0.3"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U34" s="6">
        <v>13</v>
      </c>
      <c r="V34" s="12">
        <f t="shared" si="4"/>
        <v>-1</v>
      </c>
      <c r="W34" s="12">
        <f t="shared" si="5"/>
        <v>-1</v>
      </c>
      <c r="X34" s="12">
        <f t="shared" si="6"/>
        <v>-1</v>
      </c>
      <c r="Y34" s="12">
        <f t="shared" si="7"/>
        <v>0</v>
      </c>
      <c r="Z34" s="12">
        <f t="shared" si="8"/>
        <v>-1</v>
      </c>
      <c r="AA34" s="12">
        <f t="shared" si="9"/>
        <v>0</v>
      </c>
      <c r="AB34" s="12">
        <f t="shared" si="10"/>
        <v>0</v>
      </c>
      <c r="AC34" s="12">
        <f t="shared" si="11"/>
        <v>-1</v>
      </c>
      <c r="AD34" s="12">
        <f t="shared" si="12"/>
        <v>0</v>
      </c>
      <c r="AE34" s="12">
        <f t="shared" si="13"/>
        <v>0</v>
      </c>
      <c r="AF34" s="12">
        <f t="shared" si="14"/>
        <v>0</v>
      </c>
      <c r="AG34" s="12">
        <f t="shared" si="15"/>
        <v>0</v>
      </c>
      <c r="AH34" s="12">
        <f t="shared" si="16"/>
        <v>0</v>
      </c>
      <c r="AI34" s="12">
        <f t="shared" si="17"/>
        <v>1</v>
      </c>
      <c r="AJ34" s="12">
        <f t="shared" si="18"/>
        <v>1</v>
      </c>
    </row>
    <row r="35" spans="3:37" x14ac:dyDescent="0.3"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U35" s="6">
        <v>14</v>
      </c>
      <c r="V35" s="12">
        <f t="shared" si="4"/>
        <v>-1</v>
      </c>
      <c r="W35" s="12">
        <f t="shared" si="5"/>
        <v>-1</v>
      </c>
      <c r="X35" s="12">
        <f t="shared" si="6"/>
        <v>-1</v>
      </c>
      <c r="Y35" s="12">
        <f t="shared" si="7"/>
        <v>-1</v>
      </c>
      <c r="Z35" s="12">
        <f t="shared" si="8"/>
        <v>-1</v>
      </c>
      <c r="AA35" s="12">
        <f t="shared" si="9"/>
        <v>-1</v>
      </c>
      <c r="AB35" s="12">
        <f t="shared" si="10"/>
        <v>-1</v>
      </c>
      <c r="AC35" s="12">
        <f t="shared" si="11"/>
        <v>-1</v>
      </c>
      <c r="AD35" s="12">
        <f t="shared" si="12"/>
        <v>-1</v>
      </c>
      <c r="AE35" s="12">
        <f t="shared" si="13"/>
        <v>-1</v>
      </c>
      <c r="AF35" s="12">
        <f t="shared" si="14"/>
        <v>-1</v>
      </c>
      <c r="AG35" s="12">
        <f t="shared" si="15"/>
        <v>-1</v>
      </c>
      <c r="AH35" s="12">
        <f t="shared" si="16"/>
        <v>-1</v>
      </c>
      <c r="AI35" s="12">
        <f t="shared" si="17"/>
        <v>0</v>
      </c>
      <c r="AJ35" s="12">
        <f t="shared" si="18"/>
        <v>1</v>
      </c>
    </row>
    <row r="36" spans="3:37" x14ac:dyDescent="0.3"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U36" s="6">
        <v>15</v>
      </c>
      <c r="V36" s="12">
        <f t="shared" si="4"/>
        <v>-1</v>
      </c>
      <c r="W36" s="12">
        <f t="shared" si="5"/>
        <v>-1</v>
      </c>
      <c r="X36" s="12">
        <f t="shared" si="6"/>
        <v>-1</v>
      </c>
      <c r="Y36" s="12">
        <f t="shared" si="7"/>
        <v>-1</v>
      </c>
      <c r="Z36" s="12">
        <f t="shared" si="8"/>
        <v>-1</v>
      </c>
      <c r="AA36" s="12">
        <f t="shared" si="9"/>
        <v>-1</v>
      </c>
      <c r="AB36" s="12">
        <f t="shared" si="10"/>
        <v>-1</v>
      </c>
      <c r="AC36" s="12">
        <f t="shared" si="11"/>
        <v>-1</v>
      </c>
      <c r="AD36" s="12">
        <f t="shared" si="12"/>
        <v>-1</v>
      </c>
      <c r="AE36" s="12">
        <f t="shared" si="13"/>
        <v>-1</v>
      </c>
      <c r="AF36" s="12">
        <f t="shared" si="14"/>
        <v>-1</v>
      </c>
      <c r="AG36" s="12">
        <f t="shared" si="15"/>
        <v>-1</v>
      </c>
      <c r="AH36" s="12">
        <f t="shared" si="16"/>
        <v>-1</v>
      </c>
      <c r="AI36" s="12">
        <f t="shared" si="17"/>
        <v>-1</v>
      </c>
      <c r="AJ36" s="12">
        <f t="shared" si="18"/>
        <v>0</v>
      </c>
    </row>
    <row r="37" spans="3:37" x14ac:dyDescent="0.3"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42" spans="3:37" ht="17.399999999999999" x14ac:dyDescent="0.3">
      <c r="C42" s="5" t="s">
        <v>25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3:37" ht="27.6" x14ac:dyDescent="0.3">
      <c r="C43" s="6" t="s">
        <v>16</v>
      </c>
      <c r="D43" s="6">
        <v>1</v>
      </c>
      <c r="E43" s="6">
        <v>2</v>
      </c>
      <c r="F43" s="6">
        <v>3</v>
      </c>
      <c r="G43" s="6">
        <v>4</v>
      </c>
      <c r="H43" s="6">
        <v>5</v>
      </c>
      <c r="I43" s="6">
        <v>6</v>
      </c>
      <c r="J43" s="6">
        <v>7</v>
      </c>
      <c r="K43" s="6">
        <v>8</v>
      </c>
      <c r="L43" s="6">
        <v>9</v>
      </c>
      <c r="M43" s="6">
        <v>10</v>
      </c>
      <c r="N43" s="6">
        <v>11</v>
      </c>
      <c r="O43" s="6">
        <v>12</v>
      </c>
      <c r="P43" s="6">
        <v>13</v>
      </c>
      <c r="Q43" s="6">
        <v>14</v>
      </c>
      <c r="R43" s="6">
        <v>15</v>
      </c>
      <c r="S43" s="6" t="s">
        <v>17</v>
      </c>
      <c r="U43" s="6" t="s">
        <v>16</v>
      </c>
      <c r="V43" s="6">
        <v>1</v>
      </c>
      <c r="W43" s="6">
        <v>2</v>
      </c>
      <c r="X43" s="6">
        <v>3</v>
      </c>
      <c r="Y43" s="6">
        <v>4</v>
      </c>
      <c r="Z43" s="6">
        <v>5</v>
      </c>
      <c r="AA43" s="6">
        <v>6</v>
      </c>
      <c r="AB43" s="6">
        <v>7</v>
      </c>
      <c r="AC43" s="6">
        <v>8</v>
      </c>
      <c r="AD43" s="6">
        <v>9</v>
      </c>
      <c r="AE43" s="6">
        <v>10</v>
      </c>
      <c r="AF43" s="6">
        <v>11</v>
      </c>
      <c r="AG43" s="6">
        <v>12</v>
      </c>
      <c r="AH43" s="6">
        <v>13</v>
      </c>
      <c r="AI43" s="6">
        <v>14</v>
      </c>
      <c r="AJ43" s="6">
        <v>15</v>
      </c>
      <c r="AK43" s="6" t="s">
        <v>17</v>
      </c>
    </row>
    <row r="44" spans="3:37" x14ac:dyDescent="0.3">
      <c r="C44" s="7" t="s">
        <v>14</v>
      </c>
      <c r="D44" s="12">
        <v>1</v>
      </c>
      <c r="E44" s="12">
        <v>1</v>
      </c>
      <c r="F44" s="12">
        <v>1</v>
      </c>
      <c r="G44" s="12">
        <v>1</v>
      </c>
      <c r="H44" s="12">
        <v>1</v>
      </c>
      <c r="I44" s="12">
        <v>1</v>
      </c>
      <c r="J44" s="12">
        <v>1</v>
      </c>
      <c r="K44" s="12">
        <v>1</v>
      </c>
      <c r="L44" s="12">
        <v>1</v>
      </c>
      <c r="M44" s="12">
        <v>1</v>
      </c>
      <c r="N44" s="12">
        <v>1</v>
      </c>
      <c r="O44" s="12">
        <v>1</v>
      </c>
      <c r="P44" s="12">
        <v>1</v>
      </c>
      <c r="Q44" s="12">
        <v>1</v>
      </c>
      <c r="R44" s="12">
        <v>1</v>
      </c>
      <c r="S44" s="7">
        <v>15</v>
      </c>
      <c r="U44" s="7" t="s">
        <v>14</v>
      </c>
      <c r="V44" s="12"/>
      <c r="W44" s="12">
        <v>1</v>
      </c>
      <c r="X44" s="12">
        <v>1</v>
      </c>
      <c r="Y44" s="12">
        <v>1</v>
      </c>
      <c r="Z44" s="12">
        <v>1</v>
      </c>
      <c r="AA44" s="12">
        <v>1</v>
      </c>
      <c r="AB44" s="12">
        <v>1</v>
      </c>
      <c r="AC44" s="12">
        <v>1</v>
      </c>
      <c r="AD44" s="12">
        <v>1</v>
      </c>
      <c r="AE44" s="12">
        <v>1</v>
      </c>
      <c r="AF44" s="12">
        <v>1</v>
      </c>
      <c r="AG44" s="12">
        <v>1</v>
      </c>
      <c r="AH44" s="12">
        <v>1</v>
      </c>
      <c r="AI44" s="12">
        <v>1</v>
      </c>
      <c r="AJ44" s="12">
        <v>1</v>
      </c>
      <c r="AK44" s="7">
        <v>15</v>
      </c>
    </row>
    <row r="45" spans="3:37" x14ac:dyDescent="0.3">
      <c r="C45" s="7" t="s">
        <v>13</v>
      </c>
      <c r="D45" s="12">
        <v>0</v>
      </c>
      <c r="E45" s="12">
        <v>1</v>
      </c>
      <c r="F45" s="12">
        <v>0</v>
      </c>
      <c r="G45" s="16" t="s">
        <v>26</v>
      </c>
      <c r="H45" s="12">
        <v>0</v>
      </c>
      <c r="I45" s="16" t="s">
        <v>26</v>
      </c>
      <c r="J45" s="12">
        <v>1</v>
      </c>
      <c r="K45" s="12">
        <v>0</v>
      </c>
      <c r="L45" s="12">
        <v>1</v>
      </c>
      <c r="M45" s="16" t="s">
        <v>26</v>
      </c>
      <c r="N45" s="16" t="s">
        <v>26</v>
      </c>
      <c r="O45" s="12">
        <v>1</v>
      </c>
      <c r="P45" s="12">
        <v>1</v>
      </c>
      <c r="Q45" s="12">
        <v>1</v>
      </c>
      <c r="R45" s="12">
        <v>1</v>
      </c>
      <c r="S45" s="7">
        <v>11</v>
      </c>
      <c r="U45" s="7" t="s">
        <v>13</v>
      </c>
      <c r="V45" s="12">
        <v>0</v>
      </c>
      <c r="W45" s="12">
        <v>1</v>
      </c>
      <c r="X45" s="12">
        <v>0</v>
      </c>
      <c r="Y45" s="16" t="s">
        <v>26</v>
      </c>
      <c r="Z45" s="12">
        <v>0</v>
      </c>
      <c r="AA45" s="16" t="s">
        <v>26</v>
      </c>
      <c r="AB45" s="12">
        <v>1</v>
      </c>
      <c r="AC45" s="12">
        <v>0</v>
      </c>
      <c r="AD45" s="12">
        <v>1</v>
      </c>
      <c r="AE45" s="16" t="s">
        <v>26</v>
      </c>
      <c r="AF45" s="16" t="s">
        <v>26</v>
      </c>
      <c r="AG45" s="12">
        <v>1</v>
      </c>
      <c r="AH45" s="12">
        <v>1</v>
      </c>
      <c r="AI45" s="12">
        <v>1</v>
      </c>
      <c r="AJ45" s="12">
        <v>1</v>
      </c>
      <c r="AK45" s="7">
        <v>11</v>
      </c>
    </row>
    <row r="46" spans="3:37" x14ac:dyDescent="0.3">
      <c r="C46" s="7" t="s">
        <v>12</v>
      </c>
      <c r="D46" s="12">
        <v>0</v>
      </c>
      <c r="E46" s="12">
        <v>0</v>
      </c>
      <c r="F46" s="12">
        <v>1</v>
      </c>
      <c r="G46" s="12">
        <v>1</v>
      </c>
      <c r="H46" s="12">
        <v>0</v>
      </c>
      <c r="I46" s="12">
        <v>1</v>
      </c>
      <c r="J46" s="16" t="s">
        <v>26</v>
      </c>
      <c r="K46" s="12">
        <v>0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7">
        <v>11</v>
      </c>
      <c r="U46" s="7" t="s">
        <v>12</v>
      </c>
      <c r="V46" s="12">
        <v>0</v>
      </c>
      <c r="W46" s="12">
        <v>0</v>
      </c>
      <c r="X46" s="12">
        <v>1</v>
      </c>
      <c r="Y46" s="12">
        <v>1</v>
      </c>
      <c r="Z46" s="12">
        <v>0</v>
      </c>
      <c r="AA46" s="12">
        <v>1</v>
      </c>
      <c r="AB46" s="16" t="s">
        <v>26</v>
      </c>
      <c r="AC46" s="12">
        <v>0</v>
      </c>
      <c r="AD46" s="12">
        <v>1</v>
      </c>
      <c r="AE46" s="12">
        <v>1</v>
      </c>
      <c r="AF46" s="12">
        <v>1</v>
      </c>
      <c r="AG46" s="12">
        <v>1</v>
      </c>
      <c r="AH46" s="12">
        <v>1</v>
      </c>
      <c r="AI46" s="12">
        <v>1</v>
      </c>
      <c r="AJ46" s="12">
        <v>1</v>
      </c>
      <c r="AK46" s="7">
        <v>11</v>
      </c>
    </row>
    <row r="47" spans="3:37" x14ac:dyDescent="0.3">
      <c r="C47" s="7" t="s">
        <v>11</v>
      </c>
      <c r="D47" s="12">
        <v>0</v>
      </c>
      <c r="E47" s="12">
        <v>0</v>
      </c>
      <c r="F47" s="12">
        <v>0</v>
      </c>
      <c r="G47" s="12">
        <v>1</v>
      </c>
      <c r="H47" s="12">
        <v>0</v>
      </c>
      <c r="I47" s="12">
        <v>1</v>
      </c>
      <c r="J47" s="16" t="s">
        <v>26</v>
      </c>
      <c r="K47" s="12">
        <v>0</v>
      </c>
      <c r="L47" s="16" t="s">
        <v>26</v>
      </c>
      <c r="M47" s="12">
        <v>1</v>
      </c>
      <c r="N47" s="12">
        <v>1</v>
      </c>
      <c r="O47" s="12">
        <v>1</v>
      </c>
      <c r="P47" s="12">
        <v>1</v>
      </c>
      <c r="Q47" s="12">
        <v>1</v>
      </c>
      <c r="R47" s="12">
        <v>1</v>
      </c>
      <c r="S47" s="7">
        <v>10</v>
      </c>
      <c r="U47" s="7" t="s">
        <v>11</v>
      </c>
      <c r="V47" s="12">
        <v>0</v>
      </c>
      <c r="W47" s="12">
        <v>0</v>
      </c>
      <c r="X47" s="12">
        <v>0</v>
      </c>
      <c r="Y47" s="12">
        <v>1</v>
      </c>
      <c r="Z47" s="12">
        <v>0</v>
      </c>
      <c r="AA47" s="12">
        <v>1</v>
      </c>
      <c r="AB47" s="16" t="s">
        <v>26</v>
      </c>
      <c r="AC47" s="12">
        <v>0</v>
      </c>
      <c r="AD47" s="16" t="s">
        <v>26</v>
      </c>
      <c r="AE47" s="12">
        <v>1</v>
      </c>
      <c r="AF47" s="12">
        <v>1</v>
      </c>
      <c r="AG47" s="12">
        <v>1</v>
      </c>
      <c r="AH47" s="12">
        <v>1</v>
      </c>
      <c r="AI47" s="12">
        <v>1</v>
      </c>
      <c r="AJ47" s="12">
        <v>1</v>
      </c>
      <c r="AK47" s="7">
        <v>10</v>
      </c>
    </row>
    <row r="48" spans="3:37" x14ac:dyDescent="0.3">
      <c r="C48" s="7" t="s">
        <v>10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6" t="s">
        <v>26</v>
      </c>
      <c r="K48" s="12">
        <v>1</v>
      </c>
      <c r="L48" s="12">
        <v>1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7">
        <v>14</v>
      </c>
      <c r="U48" s="7" t="s">
        <v>10</v>
      </c>
      <c r="V48" s="12">
        <v>0</v>
      </c>
      <c r="W48" s="12">
        <v>1</v>
      </c>
      <c r="X48" s="12">
        <v>1</v>
      </c>
      <c r="Y48" s="12">
        <v>1</v>
      </c>
      <c r="Z48" s="12">
        <v>1</v>
      </c>
      <c r="AA48" s="12">
        <v>1</v>
      </c>
      <c r="AB48" s="16" t="s">
        <v>26</v>
      </c>
      <c r="AC48" s="12">
        <v>1</v>
      </c>
      <c r="AD48" s="12">
        <v>1</v>
      </c>
      <c r="AE48" s="12">
        <v>1</v>
      </c>
      <c r="AF48" s="12">
        <v>1</v>
      </c>
      <c r="AG48" s="12">
        <v>1</v>
      </c>
      <c r="AH48" s="12">
        <v>1</v>
      </c>
      <c r="AI48" s="12">
        <v>1</v>
      </c>
      <c r="AJ48" s="12">
        <v>1</v>
      </c>
      <c r="AK48" s="7">
        <v>14</v>
      </c>
    </row>
    <row r="49" spans="3:37" x14ac:dyDescent="0.3">
      <c r="C49" s="7" t="s">
        <v>9</v>
      </c>
      <c r="D49" s="12">
        <v>0</v>
      </c>
      <c r="E49" s="12">
        <v>0</v>
      </c>
      <c r="F49" s="12">
        <v>0</v>
      </c>
      <c r="G49" s="12">
        <v>1</v>
      </c>
      <c r="H49" s="12">
        <v>0</v>
      </c>
      <c r="I49" s="12">
        <v>1</v>
      </c>
      <c r="J49" s="16" t="s">
        <v>26</v>
      </c>
      <c r="K49" s="12">
        <v>0</v>
      </c>
      <c r="L49" s="12">
        <v>1</v>
      </c>
      <c r="M49" s="12">
        <v>1</v>
      </c>
      <c r="N49" s="12">
        <v>1</v>
      </c>
      <c r="O49" s="12">
        <v>1</v>
      </c>
      <c r="P49" s="12">
        <v>1</v>
      </c>
      <c r="Q49" s="12">
        <v>1</v>
      </c>
      <c r="R49" s="12">
        <v>1</v>
      </c>
      <c r="S49" s="7">
        <v>10</v>
      </c>
      <c r="U49" s="7" t="s">
        <v>9</v>
      </c>
      <c r="V49" s="12">
        <v>0</v>
      </c>
      <c r="W49" s="12">
        <v>0</v>
      </c>
      <c r="X49" s="12">
        <v>0</v>
      </c>
      <c r="Y49" s="12">
        <v>1</v>
      </c>
      <c r="Z49" s="12">
        <v>0</v>
      </c>
      <c r="AA49" s="12">
        <v>1</v>
      </c>
      <c r="AB49" s="16" t="s">
        <v>26</v>
      </c>
      <c r="AC49" s="12">
        <v>0</v>
      </c>
      <c r="AD49" s="12">
        <v>1</v>
      </c>
      <c r="AE49" s="12">
        <v>1</v>
      </c>
      <c r="AF49" s="12">
        <v>1</v>
      </c>
      <c r="AG49" s="12">
        <v>1</v>
      </c>
      <c r="AH49" s="12">
        <v>1</v>
      </c>
      <c r="AI49" s="12">
        <v>1</v>
      </c>
      <c r="AJ49" s="12">
        <v>1</v>
      </c>
      <c r="AK49" s="7">
        <v>10</v>
      </c>
    </row>
    <row r="50" spans="3:37" x14ac:dyDescent="0.3">
      <c r="C50" s="7" t="s">
        <v>8</v>
      </c>
      <c r="D50" s="12">
        <v>0</v>
      </c>
      <c r="E50" s="12">
        <v>0</v>
      </c>
      <c r="F50" s="12">
        <v>0</v>
      </c>
      <c r="G50" s="12">
        <v>1</v>
      </c>
      <c r="H50" s="12">
        <v>0</v>
      </c>
      <c r="I50" s="12">
        <v>1</v>
      </c>
      <c r="J50" s="12">
        <v>1</v>
      </c>
      <c r="K50" s="12">
        <v>0</v>
      </c>
      <c r="L50" s="12">
        <v>1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7">
        <v>10</v>
      </c>
      <c r="U50" s="7" t="s">
        <v>8</v>
      </c>
      <c r="V50" s="12">
        <v>0</v>
      </c>
      <c r="W50" s="12">
        <v>0</v>
      </c>
      <c r="X50" s="12">
        <v>0</v>
      </c>
      <c r="Y50" s="12">
        <v>1</v>
      </c>
      <c r="Z50" s="12">
        <v>0</v>
      </c>
      <c r="AA50" s="12">
        <v>1</v>
      </c>
      <c r="AB50" s="12">
        <v>1</v>
      </c>
      <c r="AC50" s="12">
        <v>0</v>
      </c>
      <c r="AD50" s="12">
        <v>1</v>
      </c>
      <c r="AE50" s="12">
        <v>1</v>
      </c>
      <c r="AF50" s="12">
        <v>1</v>
      </c>
      <c r="AG50" s="12">
        <v>1</v>
      </c>
      <c r="AH50" s="12">
        <v>1</v>
      </c>
      <c r="AI50" s="12">
        <v>1</v>
      </c>
      <c r="AJ50" s="12">
        <v>1</v>
      </c>
      <c r="AK50" s="7">
        <v>10</v>
      </c>
    </row>
    <row r="51" spans="3:37" x14ac:dyDescent="0.3">
      <c r="C51" s="7" t="s">
        <v>7</v>
      </c>
      <c r="D51" s="12">
        <v>0</v>
      </c>
      <c r="E51" s="12">
        <v>0</v>
      </c>
      <c r="F51" s="12">
        <v>0</v>
      </c>
      <c r="G51" s="12">
        <v>1</v>
      </c>
      <c r="H51" s="12">
        <v>0</v>
      </c>
      <c r="I51" s="16" t="s">
        <v>26</v>
      </c>
      <c r="J51" s="16" t="s">
        <v>26</v>
      </c>
      <c r="K51" s="12">
        <v>1</v>
      </c>
      <c r="L51" s="12">
        <v>1</v>
      </c>
      <c r="M51" s="12">
        <v>1</v>
      </c>
      <c r="N51" s="16" t="s">
        <v>26</v>
      </c>
      <c r="O51" s="12">
        <v>1</v>
      </c>
      <c r="P51" s="12">
        <v>1</v>
      </c>
      <c r="Q51" s="12">
        <v>1</v>
      </c>
      <c r="R51" s="12">
        <v>1</v>
      </c>
      <c r="S51" s="7">
        <v>11</v>
      </c>
      <c r="U51" s="7" t="s">
        <v>7</v>
      </c>
      <c r="V51" s="12">
        <v>0</v>
      </c>
      <c r="W51" s="12">
        <v>0</v>
      </c>
      <c r="X51" s="12">
        <v>0</v>
      </c>
      <c r="Y51" s="12">
        <v>1</v>
      </c>
      <c r="Z51" s="12">
        <v>0</v>
      </c>
      <c r="AA51" s="16" t="s">
        <v>26</v>
      </c>
      <c r="AB51" s="16" t="s">
        <v>26</v>
      </c>
      <c r="AC51" s="12">
        <v>1</v>
      </c>
      <c r="AD51" s="12">
        <v>1</v>
      </c>
      <c r="AE51" s="12">
        <v>1</v>
      </c>
      <c r="AF51" s="16" t="s">
        <v>26</v>
      </c>
      <c r="AG51" s="12">
        <v>1</v>
      </c>
      <c r="AH51" s="12">
        <v>1</v>
      </c>
      <c r="AI51" s="12">
        <v>1</v>
      </c>
      <c r="AJ51" s="12">
        <v>1</v>
      </c>
      <c r="AK51" s="7">
        <v>11</v>
      </c>
    </row>
    <row r="52" spans="3:37" x14ac:dyDescent="0.3">
      <c r="C52" s="7" t="s">
        <v>6</v>
      </c>
      <c r="D52" s="12">
        <v>0</v>
      </c>
      <c r="E52" s="12">
        <v>0</v>
      </c>
      <c r="F52" s="12">
        <v>0</v>
      </c>
      <c r="G52" s="12">
        <v>1</v>
      </c>
      <c r="H52" s="12">
        <v>0</v>
      </c>
      <c r="I52" s="16" t="s">
        <v>26</v>
      </c>
      <c r="J52" s="16" t="s">
        <v>26</v>
      </c>
      <c r="K52" s="12">
        <v>0</v>
      </c>
      <c r="L52" s="12">
        <v>1</v>
      </c>
      <c r="M52" s="12">
        <v>1</v>
      </c>
      <c r="N52" s="16" t="s">
        <v>26</v>
      </c>
      <c r="O52" s="12">
        <v>1</v>
      </c>
      <c r="P52" s="12">
        <v>1</v>
      </c>
      <c r="Q52" s="12">
        <v>1</v>
      </c>
      <c r="R52" s="12">
        <v>1</v>
      </c>
      <c r="S52" s="7">
        <v>10</v>
      </c>
      <c r="U52" s="7" t="s">
        <v>6</v>
      </c>
      <c r="V52" s="12">
        <v>0</v>
      </c>
      <c r="W52" s="12">
        <v>0</v>
      </c>
      <c r="X52" s="12">
        <v>0</v>
      </c>
      <c r="Y52" s="12">
        <v>1</v>
      </c>
      <c r="Z52" s="12">
        <v>0</v>
      </c>
      <c r="AA52" s="16" t="s">
        <v>26</v>
      </c>
      <c r="AB52" s="16" t="s">
        <v>26</v>
      </c>
      <c r="AC52" s="12">
        <v>0</v>
      </c>
      <c r="AD52" s="12">
        <v>1</v>
      </c>
      <c r="AE52" s="12">
        <v>1</v>
      </c>
      <c r="AF52" s="16" t="s">
        <v>26</v>
      </c>
      <c r="AG52" s="12">
        <v>1</v>
      </c>
      <c r="AH52" s="12">
        <v>1</v>
      </c>
      <c r="AI52" s="12">
        <v>1</v>
      </c>
      <c r="AJ52" s="12">
        <v>1</v>
      </c>
      <c r="AK52" s="7">
        <v>10</v>
      </c>
    </row>
    <row r="53" spans="3:37" x14ac:dyDescent="0.3">
      <c r="C53" s="7" t="s">
        <v>5</v>
      </c>
      <c r="D53" s="12">
        <v>0</v>
      </c>
      <c r="E53" s="12">
        <v>0</v>
      </c>
      <c r="F53" s="12">
        <v>0</v>
      </c>
      <c r="G53" s="16" t="s">
        <v>26</v>
      </c>
      <c r="H53" s="12">
        <v>0</v>
      </c>
      <c r="I53" s="12">
        <v>1</v>
      </c>
      <c r="J53" s="16" t="s">
        <v>26</v>
      </c>
      <c r="K53" s="12">
        <v>0</v>
      </c>
      <c r="L53" s="16" t="s">
        <v>26</v>
      </c>
      <c r="M53" s="12">
        <v>1</v>
      </c>
      <c r="N53" s="12">
        <v>1</v>
      </c>
      <c r="O53" s="12">
        <v>1</v>
      </c>
      <c r="P53" s="12">
        <v>1</v>
      </c>
      <c r="Q53" s="12">
        <v>1</v>
      </c>
      <c r="R53" s="12">
        <v>1</v>
      </c>
      <c r="S53" s="7">
        <v>10</v>
      </c>
      <c r="U53" s="7" t="s">
        <v>5</v>
      </c>
      <c r="V53" s="12">
        <v>0</v>
      </c>
      <c r="W53" s="12">
        <v>0</v>
      </c>
      <c r="X53" s="12">
        <v>0</v>
      </c>
      <c r="Y53" s="16" t="s">
        <v>26</v>
      </c>
      <c r="Z53" s="12">
        <v>0</v>
      </c>
      <c r="AA53" s="12">
        <v>1</v>
      </c>
      <c r="AB53" s="16" t="s">
        <v>26</v>
      </c>
      <c r="AC53" s="12">
        <v>0</v>
      </c>
      <c r="AD53" s="16" t="s">
        <v>26</v>
      </c>
      <c r="AE53" s="12">
        <v>1</v>
      </c>
      <c r="AF53" s="12">
        <v>1</v>
      </c>
      <c r="AG53" s="12">
        <v>1</v>
      </c>
      <c r="AH53" s="12">
        <v>1</v>
      </c>
      <c r="AI53" s="12">
        <v>1</v>
      </c>
      <c r="AJ53" s="12">
        <v>1</v>
      </c>
      <c r="AK53" s="7">
        <v>10</v>
      </c>
    </row>
    <row r="54" spans="3:37" x14ac:dyDescent="0.3">
      <c r="C54" s="7" t="s">
        <v>4</v>
      </c>
      <c r="D54" s="12">
        <v>0</v>
      </c>
      <c r="E54" s="12">
        <v>0</v>
      </c>
      <c r="F54" s="12">
        <v>0</v>
      </c>
      <c r="G54" s="16" t="s">
        <v>26</v>
      </c>
      <c r="H54" s="12">
        <v>0</v>
      </c>
      <c r="I54" s="12">
        <v>1</v>
      </c>
      <c r="J54" s="12">
        <v>1</v>
      </c>
      <c r="K54" s="12">
        <v>0</v>
      </c>
      <c r="L54" s="12">
        <v>1</v>
      </c>
      <c r="M54" s="12">
        <v>1</v>
      </c>
      <c r="N54" s="12">
        <v>1</v>
      </c>
      <c r="O54" s="12">
        <v>1</v>
      </c>
      <c r="P54" s="12">
        <v>1</v>
      </c>
      <c r="Q54" s="12">
        <v>1</v>
      </c>
      <c r="R54" s="12">
        <v>1</v>
      </c>
      <c r="S54" s="7">
        <v>10</v>
      </c>
      <c r="U54" s="7" t="s">
        <v>4</v>
      </c>
      <c r="V54" s="12">
        <v>0</v>
      </c>
      <c r="W54" s="12">
        <v>0</v>
      </c>
      <c r="X54" s="12">
        <v>0</v>
      </c>
      <c r="Y54" s="16" t="s">
        <v>26</v>
      </c>
      <c r="Z54" s="12">
        <v>0</v>
      </c>
      <c r="AA54" s="12">
        <v>1</v>
      </c>
      <c r="AB54" s="12">
        <v>1</v>
      </c>
      <c r="AC54" s="12">
        <v>0</v>
      </c>
      <c r="AD54" s="12">
        <v>1</v>
      </c>
      <c r="AE54" s="12">
        <v>1</v>
      </c>
      <c r="AF54" s="12">
        <v>1</v>
      </c>
      <c r="AG54" s="12">
        <v>1</v>
      </c>
      <c r="AH54" s="12">
        <v>1</v>
      </c>
      <c r="AI54" s="12">
        <v>1</v>
      </c>
      <c r="AJ54" s="12">
        <v>1</v>
      </c>
      <c r="AK54" s="7">
        <v>10</v>
      </c>
    </row>
    <row r="55" spans="3:37" x14ac:dyDescent="0.3">
      <c r="C55" s="7" t="s">
        <v>3</v>
      </c>
      <c r="D55" s="12">
        <v>0</v>
      </c>
      <c r="E55" s="12">
        <v>0</v>
      </c>
      <c r="F55" s="12">
        <v>0</v>
      </c>
      <c r="G55" s="16" t="s">
        <v>26</v>
      </c>
      <c r="H55" s="12">
        <v>0</v>
      </c>
      <c r="I55" s="12">
        <v>1</v>
      </c>
      <c r="J55" s="12">
        <v>1</v>
      </c>
      <c r="K55" s="12">
        <v>0</v>
      </c>
      <c r="L55" s="12">
        <v>1</v>
      </c>
      <c r="M55" s="12">
        <v>1</v>
      </c>
      <c r="N55" s="12">
        <v>1</v>
      </c>
      <c r="O55" s="12">
        <v>1</v>
      </c>
      <c r="P55" s="12">
        <v>1</v>
      </c>
      <c r="Q55" s="12">
        <v>1</v>
      </c>
      <c r="R55" s="12">
        <v>1</v>
      </c>
      <c r="S55" s="7">
        <v>10</v>
      </c>
      <c r="U55" s="7" t="s">
        <v>3</v>
      </c>
      <c r="V55" s="12">
        <v>0</v>
      </c>
      <c r="W55" s="12">
        <v>0</v>
      </c>
      <c r="X55" s="12">
        <v>0</v>
      </c>
      <c r="Y55" s="16" t="s">
        <v>26</v>
      </c>
      <c r="Z55" s="12">
        <v>0</v>
      </c>
      <c r="AA55" s="12">
        <v>1</v>
      </c>
      <c r="AB55" s="12">
        <v>1</v>
      </c>
      <c r="AC55" s="12">
        <v>0</v>
      </c>
      <c r="AD55" s="12">
        <v>1</v>
      </c>
      <c r="AE55" s="12">
        <v>1</v>
      </c>
      <c r="AF55" s="12">
        <v>1</v>
      </c>
      <c r="AG55" s="12">
        <v>1</v>
      </c>
      <c r="AH55" s="12">
        <v>1</v>
      </c>
      <c r="AI55" s="12">
        <v>1</v>
      </c>
      <c r="AJ55" s="12">
        <v>1</v>
      </c>
      <c r="AK55" s="7">
        <v>10</v>
      </c>
    </row>
    <row r="56" spans="3:37" x14ac:dyDescent="0.3">
      <c r="C56" s="7" t="s">
        <v>2</v>
      </c>
      <c r="D56" s="12">
        <v>0</v>
      </c>
      <c r="E56" s="12">
        <v>0</v>
      </c>
      <c r="F56" s="12">
        <v>0</v>
      </c>
      <c r="G56" s="16" t="s">
        <v>26</v>
      </c>
      <c r="H56" s="12">
        <v>0</v>
      </c>
      <c r="I56" s="12">
        <v>1</v>
      </c>
      <c r="J56" s="12">
        <v>1</v>
      </c>
      <c r="K56" s="12">
        <v>0</v>
      </c>
      <c r="L56" s="12">
        <v>1</v>
      </c>
      <c r="M56" s="12">
        <v>1</v>
      </c>
      <c r="N56" s="16" t="s">
        <v>26</v>
      </c>
      <c r="O56" s="12">
        <v>1</v>
      </c>
      <c r="P56" s="12">
        <v>1</v>
      </c>
      <c r="Q56" s="12">
        <v>1</v>
      </c>
      <c r="R56" s="12">
        <v>1</v>
      </c>
      <c r="S56" s="7">
        <v>10</v>
      </c>
      <c r="U56" s="7" t="s">
        <v>2</v>
      </c>
      <c r="V56" s="12">
        <v>0</v>
      </c>
      <c r="W56" s="12">
        <v>0</v>
      </c>
      <c r="X56" s="12">
        <v>0</v>
      </c>
      <c r="Y56" s="16" t="s">
        <v>26</v>
      </c>
      <c r="Z56" s="12">
        <v>0</v>
      </c>
      <c r="AA56" s="12">
        <v>1</v>
      </c>
      <c r="AB56" s="12">
        <v>1</v>
      </c>
      <c r="AC56" s="12">
        <v>0</v>
      </c>
      <c r="AD56" s="12">
        <v>1</v>
      </c>
      <c r="AE56" s="12">
        <v>1</v>
      </c>
      <c r="AF56" s="16" t="s">
        <v>26</v>
      </c>
      <c r="AG56" s="12">
        <v>1</v>
      </c>
      <c r="AH56" s="12">
        <v>1</v>
      </c>
      <c r="AI56" s="12">
        <v>1</v>
      </c>
      <c r="AJ56" s="12">
        <v>1</v>
      </c>
      <c r="AK56" s="7">
        <v>10</v>
      </c>
    </row>
    <row r="57" spans="3:37" x14ac:dyDescent="0.3">
      <c r="C57" s="7" t="s">
        <v>1</v>
      </c>
      <c r="D57" s="12">
        <v>0</v>
      </c>
      <c r="E57" s="12">
        <v>0</v>
      </c>
      <c r="F57" s="12">
        <v>0</v>
      </c>
      <c r="G57" s="12">
        <v>0</v>
      </c>
      <c r="H57" s="12">
        <v>0</v>
      </c>
      <c r="I57" s="12">
        <v>0</v>
      </c>
      <c r="J57" s="12">
        <v>0</v>
      </c>
      <c r="K57" s="12">
        <v>0</v>
      </c>
      <c r="L57" s="12">
        <v>0</v>
      </c>
      <c r="M57" s="12">
        <v>0</v>
      </c>
      <c r="N57" s="12">
        <v>0</v>
      </c>
      <c r="O57" s="12">
        <v>0</v>
      </c>
      <c r="P57" s="12">
        <v>0</v>
      </c>
      <c r="Q57" s="12">
        <v>1</v>
      </c>
      <c r="R57" s="12">
        <v>1</v>
      </c>
      <c r="S57" s="7">
        <v>2</v>
      </c>
      <c r="U57" s="7" t="s">
        <v>1</v>
      </c>
      <c r="V57" s="12">
        <v>0</v>
      </c>
      <c r="W57" s="12">
        <v>0</v>
      </c>
      <c r="X57" s="12">
        <v>0</v>
      </c>
      <c r="Y57" s="12">
        <v>0</v>
      </c>
      <c r="Z57" s="12">
        <v>0</v>
      </c>
      <c r="AA57" s="12">
        <v>0</v>
      </c>
      <c r="AB57" s="12">
        <v>0</v>
      </c>
      <c r="AC57" s="12">
        <v>0</v>
      </c>
      <c r="AD57" s="12">
        <v>0</v>
      </c>
      <c r="AE57" s="12">
        <v>0</v>
      </c>
      <c r="AF57" s="12">
        <v>0</v>
      </c>
      <c r="AG57" s="12">
        <v>0</v>
      </c>
      <c r="AH57" s="12">
        <v>0</v>
      </c>
      <c r="AI57" s="12">
        <v>1</v>
      </c>
      <c r="AJ57" s="12">
        <v>1</v>
      </c>
      <c r="AK57" s="7">
        <v>2</v>
      </c>
    </row>
    <row r="58" spans="3:37" x14ac:dyDescent="0.3">
      <c r="C58" s="7" t="s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I58" s="12">
        <v>0</v>
      </c>
      <c r="J58" s="12">
        <v>0</v>
      </c>
      <c r="K58" s="12">
        <v>0</v>
      </c>
      <c r="L58" s="12">
        <v>0</v>
      </c>
      <c r="M58" s="12">
        <v>0</v>
      </c>
      <c r="N58" s="12">
        <v>0</v>
      </c>
      <c r="O58" s="12">
        <v>0</v>
      </c>
      <c r="P58" s="12">
        <v>0</v>
      </c>
      <c r="Q58" s="12">
        <v>0</v>
      </c>
      <c r="R58" s="12">
        <v>1</v>
      </c>
      <c r="S58" s="7">
        <v>1</v>
      </c>
      <c r="U58" s="7" t="s">
        <v>0</v>
      </c>
      <c r="V58" s="12">
        <v>0</v>
      </c>
      <c r="W58" s="12">
        <v>0</v>
      </c>
      <c r="X58" s="12">
        <v>0</v>
      </c>
      <c r="Y58" s="12">
        <v>0</v>
      </c>
      <c r="Z58" s="12">
        <v>0</v>
      </c>
      <c r="AA58" s="12">
        <v>0</v>
      </c>
      <c r="AB58" s="12">
        <v>0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1</v>
      </c>
      <c r="AK58" s="7">
        <v>1</v>
      </c>
    </row>
    <row r="59" spans="3:37" ht="27.6" x14ac:dyDescent="0.3">
      <c r="C59" s="7" t="s">
        <v>18</v>
      </c>
      <c r="D59" s="7">
        <v>1</v>
      </c>
      <c r="E59" s="7">
        <v>3</v>
      </c>
      <c r="F59" s="7">
        <v>3</v>
      </c>
      <c r="G59" s="7">
        <v>13</v>
      </c>
      <c r="H59" s="7">
        <v>2</v>
      </c>
      <c r="I59" s="7">
        <v>13</v>
      </c>
      <c r="J59" s="7">
        <v>13</v>
      </c>
      <c r="K59" s="7">
        <v>3</v>
      </c>
      <c r="L59" s="7">
        <v>13</v>
      </c>
      <c r="M59" s="7">
        <v>13</v>
      </c>
      <c r="N59" s="7">
        <v>13</v>
      </c>
      <c r="O59" s="7">
        <v>13</v>
      </c>
      <c r="P59" s="7">
        <v>13</v>
      </c>
      <c r="Q59" s="7">
        <v>14</v>
      </c>
      <c r="R59" s="7">
        <v>15</v>
      </c>
      <c r="S59" s="7"/>
      <c r="U59" s="7" t="s">
        <v>18</v>
      </c>
      <c r="V59" s="7">
        <v>1</v>
      </c>
      <c r="W59" s="7">
        <v>3</v>
      </c>
      <c r="X59" s="7">
        <v>3</v>
      </c>
      <c r="Y59" s="7">
        <v>13</v>
      </c>
      <c r="Z59" s="7">
        <v>2</v>
      </c>
      <c r="AA59" s="7">
        <v>13</v>
      </c>
      <c r="AB59" s="7">
        <v>13</v>
      </c>
      <c r="AC59" s="7">
        <v>3</v>
      </c>
      <c r="AD59" s="7">
        <v>13</v>
      </c>
      <c r="AE59" s="7">
        <v>13</v>
      </c>
      <c r="AF59" s="7">
        <v>13</v>
      </c>
      <c r="AG59" s="7">
        <v>13</v>
      </c>
      <c r="AH59" s="7">
        <v>13</v>
      </c>
      <c r="AI59" s="7">
        <v>14</v>
      </c>
      <c r="AJ59" s="7">
        <v>15</v>
      </c>
      <c r="AK59" s="7"/>
    </row>
    <row r="62" spans="3:37" x14ac:dyDescent="0.3">
      <c r="C62" s="6" t="s">
        <v>16</v>
      </c>
      <c r="D62" t="str">
        <f>S43</f>
        <v>Driving Power</v>
      </c>
      <c r="E62" t="str">
        <f>C59</f>
        <v>Dependence Power</v>
      </c>
    </row>
    <row r="63" spans="3:37" x14ac:dyDescent="0.3">
      <c r="C63" s="7" t="s">
        <v>14</v>
      </c>
      <c r="D63" s="7">
        <v>15</v>
      </c>
      <c r="E63" s="7">
        <v>1</v>
      </c>
    </row>
    <row r="64" spans="3:37" x14ac:dyDescent="0.3">
      <c r="C64" s="7" t="s">
        <v>13</v>
      </c>
      <c r="D64" s="7">
        <v>11</v>
      </c>
      <c r="E64" s="7">
        <v>3</v>
      </c>
    </row>
    <row r="65" spans="3:5" x14ac:dyDescent="0.3">
      <c r="C65" s="7" t="s">
        <v>12</v>
      </c>
      <c r="D65" s="7">
        <v>11</v>
      </c>
      <c r="E65" s="7">
        <v>3</v>
      </c>
    </row>
    <row r="66" spans="3:5" x14ac:dyDescent="0.3">
      <c r="C66" s="7" t="s">
        <v>11</v>
      </c>
      <c r="D66" s="7">
        <v>10</v>
      </c>
      <c r="E66" s="7">
        <v>13</v>
      </c>
    </row>
    <row r="67" spans="3:5" x14ac:dyDescent="0.3">
      <c r="C67" s="7" t="s">
        <v>10</v>
      </c>
      <c r="D67" s="7">
        <v>14</v>
      </c>
      <c r="E67" s="7">
        <v>2</v>
      </c>
    </row>
    <row r="68" spans="3:5" x14ac:dyDescent="0.3">
      <c r="C68" s="7" t="s">
        <v>9</v>
      </c>
      <c r="D68" s="7">
        <v>10</v>
      </c>
      <c r="E68" s="7">
        <v>13</v>
      </c>
    </row>
    <row r="69" spans="3:5" x14ac:dyDescent="0.3">
      <c r="C69" s="7" t="s">
        <v>8</v>
      </c>
      <c r="D69" s="7">
        <v>10</v>
      </c>
      <c r="E69" s="7">
        <v>13</v>
      </c>
    </row>
    <row r="70" spans="3:5" x14ac:dyDescent="0.3">
      <c r="C70" s="7" t="s">
        <v>7</v>
      </c>
      <c r="D70" s="7">
        <v>11</v>
      </c>
      <c r="E70" s="7">
        <v>3</v>
      </c>
    </row>
    <row r="71" spans="3:5" x14ac:dyDescent="0.3">
      <c r="C71" s="7" t="s">
        <v>6</v>
      </c>
      <c r="D71" s="7">
        <v>10</v>
      </c>
      <c r="E71" s="7">
        <v>13</v>
      </c>
    </row>
    <row r="72" spans="3:5" x14ac:dyDescent="0.3">
      <c r="C72" s="7" t="s">
        <v>5</v>
      </c>
      <c r="D72" s="7">
        <v>10</v>
      </c>
      <c r="E72" s="7">
        <v>13</v>
      </c>
    </row>
    <row r="73" spans="3:5" x14ac:dyDescent="0.3">
      <c r="C73" s="7" t="s">
        <v>4</v>
      </c>
      <c r="D73" s="7">
        <v>10</v>
      </c>
      <c r="E73" s="7">
        <v>13</v>
      </c>
    </row>
    <row r="74" spans="3:5" x14ac:dyDescent="0.3">
      <c r="C74" s="7" t="s">
        <v>3</v>
      </c>
      <c r="D74" s="7">
        <v>10</v>
      </c>
      <c r="E74" s="7">
        <v>13</v>
      </c>
    </row>
    <row r="75" spans="3:5" x14ac:dyDescent="0.3">
      <c r="C75" s="7" t="s">
        <v>2</v>
      </c>
      <c r="D75" s="7">
        <v>10</v>
      </c>
      <c r="E75" s="7">
        <v>13</v>
      </c>
    </row>
    <row r="76" spans="3:5" x14ac:dyDescent="0.3">
      <c r="C76" s="7" t="s">
        <v>1</v>
      </c>
      <c r="D76" s="7">
        <v>2</v>
      </c>
      <c r="E76" s="7">
        <v>14</v>
      </c>
    </row>
    <row r="77" spans="3:5" x14ac:dyDescent="0.3">
      <c r="C77" s="7" t="s">
        <v>0</v>
      </c>
      <c r="D77" s="7">
        <v>1</v>
      </c>
      <c r="E77" s="7">
        <v>15</v>
      </c>
    </row>
    <row r="79" spans="3:5" x14ac:dyDescent="0.3">
      <c r="D79">
        <f>AVERAGE(D63:D77)</f>
        <v>9.6666666666666661</v>
      </c>
      <c r="E79">
        <f>AVERAGE(E63:E77)</f>
        <v>9.6666666666666661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5EA-5707-4FA7-88C9-EE011B4D7506}">
  <sheetPr codeName="Sheet3"/>
  <dimension ref="A2:AJ230"/>
  <sheetViews>
    <sheetView topLeftCell="H31" zoomScale="85" zoomScaleNormal="85" workbookViewId="0">
      <selection activeCell="K26" sqref="K26"/>
    </sheetView>
  </sheetViews>
  <sheetFormatPr defaultRowHeight="14.4" x14ac:dyDescent="0.3"/>
  <cols>
    <col min="1" max="1" width="18.5546875" customWidth="1"/>
  </cols>
  <sheetData>
    <row r="2" spans="1:17" ht="52.2" x14ac:dyDescent="0.3">
      <c r="A2" s="1" t="s">
        <v>16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>
        <v>15</v>
      </c>
      <c r="Q2" s="1" t="s">
        <v>17</v>
      </c>
    </row>
    <row r="3" spans="1:17" ht="18" x14ac:dyDescent="0.3">
      <c r="A3" s="2" t="s">
        <v>14</v>
      </c>
      <c r="B3" s="2">
        <v>1</v>
      </c>
      <c r="C3" s="2">
        <v>1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>
        <v>1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15</v>
      </c>
    </row>
    <row r="4" spans="1:17" ht="18" x14ac:dyDescent="0.3">
      <c r="A4" s="2" t="s">
        <v>13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1</v>
      </c>
      <c r="K4" s="2">
        <v>0</v>
      </c>
      <c r="L4" s="2">
        <v>0</v>
      </c>
      <c r="M4" s="2">
        <v>1</v>
      </c>
      <c r="N4" s="2">
        <v>1</v>
      </c>
      <c r="O4" s="2">
        <v>1</v>
      </c>
      <c r="P4" s="2">
        <v>1</v>
      </c>
      <c r="Q4" s="2">
        <v>7</v>
      </c>
    </row>
    <row r="5" spans="1:17" ht="18" x14ac:dyDescent="0.3">
      <c r="A5" s="2" t="s">
        <v>12</v>
      </c>
      <c r="B5" s="2">
        <v>0</v>
      </c>
      <c r="C5" s="2">
        <v>0</v>
      </c>
      <c r="D5" s="2">
        <v>1</v>
      </c>
      <c r="E5" s="2">
        <v>1</v>
      </c>
      <c r="F5" s="2">
        <v>0</v>
      </c>
      <c r="G5" s="2">
        <v>1</v>
      </c>
      <c r="H5" s="2">
        <v>0</v>
      </c>
      <c r="I5" s="2">
        <v>0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  <c r="Q5" s="2">
        <v>10</v>
      </c>
    </row>
    <row r="6" spans="1:17" ht="18" x14ac:dyDescent="0.3">
      <c r="A6" s="2" t="s">
        <v>11</v>
      </c>
      <c r="B6" s="2">
        <v>0</v>
      </c>
      <c r="C6" s="2">
        <v>0</v>
      </c>
      <c r="D6" s="2">
        <v>0</v>
      </c>
      <c r="E6" s="2">
        <v>1</v>
      </c>
      <c r="F6" s="2">
        <v>0</v>
      </c>
      <c r="G6" s="2">
        <v>1</v>
      </c>
      <c r="H6" s="2">
        <v>0</v>
      </c>
      <c r="I6" s="2">
        <v>0</v>
      </c>
      <c r="J6" s="2">
        <v>0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>
        <v>1</v>
      </c>
      <c r="Q6" s="2">
        <v>8</v>
      </c>
    </row>
    <row r="7" spans="1:17" ht="18" x14ac:dyDescent="0.3">
      <c r="A7" s="2" t="s">
        <v>10</v>
      </c>
      <c r="B7" s="2">
        <v>0</v>
      </c>
      <c r="C7" s="2">
        <v>1</v>
      </c>
      <c r="D7" s="2">
        <v>1</v>
      </c>
      <c r="E7" s="2">
        <v>1</v>
      </c>
      <c r="F7" s="2">
        <v>1</v>
      </c>
      <c r="G7" s="2">
        <v>1</v>
      </c>
      <c r="H7" s="2">
        <v>0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13</v>
      </c>
    </row>
    <row r="8" spans="1:17" ht="18" x14ac:dyDescent="0.3">
      <c r="A8" s="2" t="s">
        <v>9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1</v>
      </c>
      <c r="H8" s="2">
        <v>0</v>
      </c>
      <c r="I8" s="2">
        <v>0</v>
      </c>
      <c r="J8" s="2">
        <v>1</v>
      </c>
      <c r="K8" s="2">
        <v>1</v>
      </c>
      <c r="L8" s="2">
        <v>1</v>
      </c>
      <c r="M8" s="2">
        <v>1</v>
      </c>
      <c r="N8" s="2">
        <v>1</v>
      </c>
      <c r="O8" s="2">
        <v>1</v>
      </c>
      <c r="P8" s="2">
        <v>1</v>
      </c>
      <c r="Q8" s="2">
        <v>9</v>
      </c>
    </row>
    <row r="9" spans="1:17" ht="18" x14ac:dyDescent="0.3">
      <c r="A9" s="2" t="s">
        <v>8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1</v>
      </c>
      <c r="H9" s="2">
        <v>1</v>
      </c>
      <c r="I9" s="2">
        <v>0</v>
      </c>
      <c r="J9" s="2">
        <v>1</v>
      </c>
      <c r="K9" s="2">
        <v>1</v>
      </c>
      <c r="L9" s="2">
        <v>1</v>
      </c>
      <c r="M9" s="2">
        <v>1</v>
      </c>
      <c r="N9" s="2">
        <v>1</v>
      </c>
      <c r="O9" s="2">
        <v>1</v>
      </c>
      <c r="P9" s="2">
        <v>1</v>
      </c>
      <c r="Q9" s="2">
        <v>10</v>
      </c>
    </row>
    <row r="10" spans="1:17" ht="18" x14ac:dyDescent="0.3">
      <c r="A10" s="2" t="s">
        <v>7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1</v>
      </c>
      <c r="J10" s="2">
        <v>1</v>
      </c>
      <c r="K10" s="2">
        <v>1</v>
      </c>
      <c r="L10" s="2">
        <v>0</v>
      </c>
      <c r="M10" s="2">
        <v>1</v>
      </c>
      <c r="N10" s="2">
        <v>1</v>
      </c>
      <c r="O10" s="2">
        <v>1</v>
      </c>
      <c r="P10" s="2">
        <v>1</v>
      </c>
      <c r="Q10" s="2">
        <v>8</v>
      </c>
    </row>
    <row r="11" spans="1:17" ht="18" x14ac:dyDescent="0.3">
      <c r="A11" s="2" t="s">
        <v>6</v>
      </c>
      <c r="B11" s="2">
        <v>0</v>
      </c>
      <c r="C11" s="2">
        <v>0</v>
      </c>
      <c r="D11" s="2">
        <v>0</v>
      </c>
      <c r="E11" s="2">
        <v>1</v>
      </c>
      <c r="F11" s="2">
        <v>0</v>
      </c>
      <c r="G11" s="2">
        <v>0</v>
      </c>
      <c r="H11" s="2">
        <v>0</v>
      </c>
      <c r="I11" s="2">
        <v>0</v>
      </c>
      <c r="J11" s="2">
        <v>1</v>
      </c>
      <c r="K11" s="2">
        <v>1</v>
      </c>
      <c r="L11" s="2">
        <v>0</v>
      </c>
      <c r="M11" s="2">
        <v>1</v>
      </c>
      <c r="N11" s="2">
        <v>1</v>
      </c>
      <c r="O11" s="2">
        <v>1</v>
      </c>
      <c r="P11" s="2">
        <v>1</v>
      </c>
      <c r="Q11" s="2">
        <v>7</v>
      </c>
    </row>
    <row r="12" spans="1:17" ht="18" x14ac:dyDescent="0.3">
      <c r="A12" s="2" t="s">
        <v>5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1</v>
      </c>
      <c r="H12" s="2">
        <v>0</v>
      </c>
      <c r="I12" s="2">
        <v>0</v>
      </c>
      <c r="J12" s="2">
        <v>0</v>
      </c>
      <c r="K12" s="2">
        <v>1</v>
      </c>
      <c r="L12" s="2">
        <v>1</v>
      </c>
      <c r="M12" s="2">
        <v>1</v>
      </c>
      <c r="N12" s="2">
        <v>1</v>
      </c>
      <c r="O12" s="2">
        <v>1</v>
      </c>
      <c r="P12" s="2">
        <v>1</v>
      </c>
      <c r="Q12" s="2">
        <v>7</v>
      </c>
    </row>
    <row r="13" spans="1:17" ht="18" x14ac:dyDescent="0.3">
      <c r="A13" s="2" t="s">
        <v>4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1</v>
      </c>
      <c r="H13" s="2">
        <v>1</v>
      </c>
      <c r="I13" s="2">
        <v>0</v>
      </c>
      <c r="J13" s="2">
        <v>1</v>
      </c>
      <c r="K13" s="2">
        <v>1</v>
      </c>
      <c r="L13" s="2">
        <v>1</v>
      </c>
      <c r="M13" s="2">
        <v>1</v>
      </c>
      <c r="N13" s="2">
        <v>1</v>
      </c>
      <c r="O13" s="2">
        <v>1</v>
      </c>
      <c r="P13" s="2">
        <v>1</v>
      </c>
      <c r="Q13" s="2">
        <v>9</v>
      </c>
    </row>
    <row r="14" spans="1:17" ht="18" x14ac:dyDescent="0.3">
      <c r="A14" s="2" t="s">
        <v>3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1</v>
      </c>
      <c r="K14" s="2">
        <v>1</v>
      </c>
      <c r="L14" s="2">
        <v>1</v>
      </c>
      <c r="M14" s="2">
        <v>1</v>
      </c>
      <c r="N14" s="2">
        <v>1</v>
      </c>
      <c r="O14" s="2">
        <v>1</v>
      </c>
      <c r="P14" s="2">
        <v>1</v>
      </c>
      <c r="Q14" s="2">
        <v>9</v>
      </c>
    </row>
    <row r="15" spans="1:17" ht="18" x14ac:dyDescent="0.3">
      <c r="A15" s="2" t="s">
        <v>2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1</v>
      </c>
      <c r="H15" s="2">
        <v>1</v>
      </c>
      <c r="I15" s="2">
        <v>0</v>
      </c>
      <c r="J15" s="2">
        <v>1</v>
      </c>
      <c r="K15" s="2">
        <v>1</v>
      </c>
      <c r="L15" s="2">
        <v>0</v>
      </c>
      <c r="M15" s="2">
        <v>1</v>
      </c>
      <c r="N15" s="2">
        <v>1</v>
      </c>
      <c r="O15" s="2">
        <v>1</v>
      </c>
      <c r="P15" s="2">
        <v>1</v>
      </c>
      <c r="Q15" s="2">
        <v>8</v>
      </c>
    </row>
    <row r="16" spans="1:17" ht="18" x14ac:dyDescent="0.3">
      <c r="A16" s="2" t="s">
        <v>1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1</v>
      </c>
      <c r="P16" s="2">
        <v>1</v>
      </c>
      <c r="Q16" s="2">
        <v>2</v>
      </c>
    </row>
    <row r="17" spans="1:17" ht="18" x14ac:dyDescent="0.3">
      <c r="A17" s="2" t="s">
        <v>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1</v>
      </c>
      <c r="Q17" s="2">
        <v>1</v>
      </c>
    </row>
    <row r="18" spans="1:17" ht="36" x14ac:dyDescent="0.3">
      <c r="A18" s="2" t="s">
        <v>18</v>
      </c>
      <c r="B18" s="2">
        <v>1</v>
      </c>
      <c r="C18" s="2">
        <v>3</v>
      </c>
      <c r="D18" s="2">
        <v>3</v>
      </c>
      <c r="E18" s="2">
        <v>8</v>
      </c>
      <c r="F18" s="2">
        <v>2</v>
      </c>
      <c r="G18" s="2">
        <v>10</v>
      </c>
      <c r="H18" s="2">
        <v>6</v>
      </c>
      <c r="I18" s="2">
        <v>3</v>
      </c>
      <c r="J18" s="2">
        <v>11</v>
      </c>
      <c r="K18" s="2">
        <v>12</v>
      </c>
      <c r="L18" s="2">
        <v>9</v>
      </c>
      <c r="M18" s="2">
        <v>13</v>
      </c>
      <c r="N18" s="2">
        <v>13</v>
      </c>
      <c r="O18" s="2">
        <v>14</v>
      </c>
      <c r="P18" s="2">
        <v>15</v>
      </c>
      <c r="Q18" s="2"/>
    </row>
    <row r="20" spans="1:17" x14ac:dyDescent="0.3">
      <c r="B20">
        <v>1</v>
      </c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</row>
    <row r="21" spans="1:17" ht="17.399999999999999" x14ac:dyDescent="0.3">
      <c r="A21" s="5" t="s">
        <v>19</v>
      </c>
      <c r="B21" s="4">
        <v>1</v>
      </c>
      <c r="C21" s="4">
        <v>1</v>
      </c>
      <c r="D21" s="4">
        <v>1</v>
      </c>
      <c r="E21" s="4">
        <v>1</v>
      </c>
      <c r="F21" s="4">
        <v>1</v>
      </c>
      <c r="G21" s="4">
        <v>1</v>
      </c>
      <c r="H21" s="4">
        <v>1</v>
      </c>
      <c r="I21" s="4">
        <v>1</v>
      </c>
      <c r="J21" s="4">
        <v>1</v>
      </c>
      <c r="K21" s="4">
        <v>1</v>
      </c>
      <c r="L21" s="4">
        <v>1</v>
      </c>
      <c r="M21" s="4">
        <v>1</v>
      </c>
      <c r="N21" s="4">
        <v>1</v>
      </c>
      <c r="O21" s="4">
        <v>1</v>
      </c>
      <c r="P21" s="4">
        <v>1</v>
      </c>
    </row>
    <row r="22" spans="1:17" x14ac:dyDescent="0.3">
      <c r="A22" s="6" t="s">
        <v>16</v>
      </c>
      <c r="B22" s="6">
        <v>1</v>
      </c>
      <c r="C22" s="6">
        <v>2</v>
      </c>
      <c r="D22" s="6">
        <v>3</v>
      </c>
      <c r="E22" s="6">
        <v>4</v>
      </c>
      <c r="F22" s="6">
        <v>5</v>
      </c>
      <c r="G22" s="6">
        <v>6</v>
      </c>
      <c r="H22" s="6">
        <v>7</v>
      </c>
      <c r="I22" s="6">
        <v>8</v>
      </c>
      <c r="J22" s="6">
        <v>9</v>
      </c>
      <c r="K22" s="6">
        <v>10</v>
      </c>
      <c r="L22" s="6">
        <v>11</v>
      </c>
      <c r="M22" s="6">
        <v>12</v>
      </c>
      <c r="N22" s="6">
        <v>13</v>
      </c>
      <c r="O22" s="6">
        <v>14</v>
      </c>
      <c r="P22" s="6">
        <v>15</v>
      </c>
    </row>
    <row r="23" spans="1:17" x14ac:dyDescent="0.3">
      <c r="A23" s="7" t="s">
        <v>14</v>
      </c>
      <c r="B23" s="7"/>
      <c r="C23" s="7" t="s">
        <v>20</v>
      </c>
      <c r="D23" s="7" t="s">
        <v>20</v>
      </c>
      <c r="E23" s="7" t="s">
        <v>20</v>
      </c>
      <c r="F23" s="7" t="s">
        <v>20</v>
      </c>
      <c r="G23" s="7" t="s">
        <v>20</v>
      </c>
      <c r="H23" s="7" t="s">
        <v>20</v>
      </c>
      <c r="I23" s="7" t="s">
        <v>20</v>
      </c>
      <c r="J23" s="7" t="s">
        <v>20</v>
      </c>
      <c r="K23" s="7" t="s">
        <v>20</v>
      </c>
      <c r="L23" s="7" t="s">
        <v>20</v>
      </c>
      <c r="M23" s="7" t="s">
        <v>20</v>
      </c>
      <c r="N23" s="7" t="s">
        <v>20</v>
      </c>
      <c r="O23" s="7" t="s">
        <v>20</v>
      </c>
      <c r="P23" s="7" t="s">
        <v>20</v>
      </c>
    </row>
    <row r="24" spans="1:17" x14ac:dyDescent="0.3">
      <c r="A24" s="7" t="s">
        <v>13</v>
      </c>
      <c r="B24" s="7"/>
      <c r="C24" s="7"/>
      <c r="D24" s="7" t="s">
        <v>21</v>
      </c>
      <c r="E24" s="7" t="s">
        <v>21</v>
      </c>
      <c r="F24" s="7" t="s">
        <v>22</v>
      </c>
      <c r="G24" s="7" t="s">
        <v>21</v>
      </c>
      <c r="H24" s="7" t="s">
        <v>20</v>
      </c>
      <c r="I24" s="7" t="s">
        <v>21</v>
      </c>
      <c r="J24" s="7" t="s">
        <v>20</v>
      </c>
      <c r="K24" s="7" t="s">
        <v>21</v>
      </c>
      <c r="L24" s="7" t="s">
        <v>21</v>
      </c>
      <c r="M24" s="7" t="s">
        <v>20</v>
      </c>
      <c r="N24" s="7" t="s">
        <v>20</v>
      </c>
      <c r="O24" s="7" t="s">
        <v>20</v>
      </c>
      <c r="P24" s="7" t="s">
        <v>20</v>
      </c>
    </row>
    <row r="25" spans="1:17" x14ac:dyDescent="0.3">
      <c r="A25" s="7" t="s">
        <v>12</v>
      </c>
      <c r="B25" s="7"/>
      <c r="C25" s="7"/>
      <c r="D25" s="7"/>
      <c r="E25" s="7" t="s">
        <v>20</v>
      </c>
      <c r="F25" s="7" t="s">
        <v>22</v>
      </c>
      <c r="G25" s="7" t="s">
        <v>20</v>
      </c>
      <c r="H25" s="7" t="s">
        <v>21</v>
      </c>
      <c r="I25" s="7" t="s">
        <v>21</v>
      </c>
      <c r="J25" s="7" t="s">
        <v>20</v>
      </c>
      <c r="K25" s="7" t="s">
        <v>20</v>
      </c>
      <c r="L25" s="7" t="s">
        <v>20</v>
      </c>
      <c r="M25" s="7" t="s">
        <v>20</v>
      </c>
      <c r="N25" s="7" t="s">
        <v>20</v>
      </c>
      <c r="O25" s="7" t="s">
        <v>20</v>
      </c>
      <c r="P25" s="7" t="s">
        <v>20</v>
      </c>
    </row>
    <row r="26" spans="1:17" x14ac:dyDescent="0.3">
      <c r="A26" s="7" t="s">
        <v>11</v>
      </c>
      <c r="B26" s="7"/>
      <c r="C26" s="7"/>
      <c r="D26" s="7"/>
      <c r="E26" s="7"/>
      <c r="F26" s="7" t="s">
        <v>22</v>
      </c>
      <c r="G26" s="7" t="s">
        <v>23</v>
      </c>
      <c r="H26" s="7" t="s">
        <v>22</v>
      </c>
      <c r="I26" s="7" t="s">
        <v>22</v>
      </c>
      <c r="J26" s="7" t="s">
        <v>22</v>
      </c>
      <c r="K26" s="7" t="s">
        <v>20</v>
      </c>
      <c r="L26" s="7" t="s">
        <v>20</v>
      </c>
      <c r="M26" s="7" t="s">
        <v>20</v>
      </c>
      <c r="N26" s="7" t="s">
        <v>20</v>
      </c>
      <c r="O26" s="7" t="s">
        <v>20</v>
      </c>
      <c r="P26" s="7" t="s">
        <v>20</v>
      </c>
    </row>
    <row r="27" spans="1:17" x14ac:dyDescent="0.3">
      <c r="A27" s="7" t="s">
        <v>10</v>
      </c>
      <c r="B27" s="7"/>
      <c r="C27" s="7"/>
      <c r="D27" s="7"/>
      <c r="E27" s="7"/>
      <c r="F27" s="7"/>
      <c r="G27" s="7" t="s">
        <v>20</v>
      </c>
      <c r="H27" s="7" t="s">
        <v>21</v>
      </c>
      <c r="I27" s="7" t="s">
        <v>20</v>
      </c>
      <c r="J27" s="7" t="s">
        <v>20</v>
      </c>
      <c r="K27" s="7" t="s">
        <v>20</v>
      </c>
      <c r="L27" s="7" t="s">
        <v>20</v>
      </c>
      <c r="M27" s="7" t="s">
        <v>20</v>
      </c>
      <c r="N27" s="7" t="s">
        <v>20</v>
      </c>
      <c r="O27" s="7" t="s">
        <v>20</v>
      </c>
      <c r="P27" s="7" t="s">
        <v>20</v>
      </c>
    </row>
    <row r="28" spans="1:17" x14ac:dyDescent="0.3">
      <c r="A28" s="7" t="s">
        <v>9</v>
      </c>
      <c r="B28" s="7"/>
      <c r="C28" s="7"/>
      <c r="D28" s="7"/>
      <c r="E28" s="7"/>
      <c r="F28" s="7"/>
      <c r="G28" s="7"/>
      <c r="H28" s="7" t="s">
        <v>22</v>
      </c>
      <c r="I28" s="7" t="s">
        <v>21</v>
      </c>
      <c r="J28" s="7" t="s">
        <v>20</v>
      </c>
      <c r="K28" s="7" t="s">
        <v>23</v>
      </c>
      <c r="L28" s="7" t="s">
        <v>23</v>
      </c>
      <c r="M28" s="7" t="s">
        <v>23</v>
      </c>
      <c r="N28" s="7" t="s">
        <v>23</v>
      </c>
      <c r="O28" s="7" t="s">
        <v>20</v>
      </c>
      <c r="P28" s="7" t="s">
        <v>20</v>
      </c>
    </row>
    <row r="29" spans="1:17" x14ac:dyDescent="0.3">
      <c r="A29" s="7" t="s">
        <v>8</v>
      </c>
      <c r="B29" s="7"/>
      <c r="C29" s="7"/>
      <c r="D29" s="7"/>
      <c r="E29" s="7"/>
      <c r="F29" s="7"/>
      <c r="G29" s="7"/>
      <c r="H29" s="7"/>
      <c r="I29" s="7" t="s">
        <v>21</v>
      </c>
      <c r="J29" s="7" t="s">
        <v>20</v>
      </c>
      <c r="K29" s="7" t="s">
        <v>20</v>
      </c>
      <c r="L29" s="7" t="s">
        <v>23</v>
      </c>
      <c r="M29" s="7" t="s">
        <v>23</v>
      </c>
      <c r="N29" s="7" t="s">
        <v>23</v>
      </c>
      <c r="O29" s="7" t="s">
        <v>20</v>
      </c>
      <c r="P29" s="7" t="s">
        <v>20</v>
      </c>
    </row>
    <row r="30" spans="1:17" x14ac:dyDescent="0.3">
      <c r="A30" s="7" t="s">
        <v>7</v>
      </c>
      <c r="B30" s="7"/>
      <c r="C30" s="7"/>
      <c r="D30" s="7"/>
      <c r="E30" s="7"/>
      <c r="F30" s="7"/>
      <c r="G30" s="7"/>
      <c r="H30" s="7"/>
      <c r="I30" s="7"/>
      <c r="J30" s="7" t="s">
        <v>20</v>
      </c>
      <c r="K30" s="7" t="s">
        <v>20</v>
      </c>
      <c r="L30" s="7" t="s">
        <v>21</v>
      </c>
      <c r="M30" s="7" t="s">
        <v>20</v>
      </c>
      <c r="N30" s="7" t="s">
        <v>20</v>
      </c>
      <c r="O30" s="7" t="s">
        <v>20</v>
      </c>
      <c r="P30" s="7" t="s">
        <v>20</v>
      </c>
    </row>
    <row r="31" spans="1:17" x14ac:dyDescent="0.3">
      <c r="A31" s="7" t="s">
        <v>6</v>
      </c>
      <c r="B31" s="7"/>
      <c r="C31" s="7"/>
      <c r="D31" s="7"/>
      <c r="E31" s="7"/>
      <c r="F31" s="7"/>
      <c r="G31" s="7"/>
      <c r="H31" s="7"/>
      <c r="I31" s="7"/>
      <c r="J31" s="7"/>
      <c r="K31" s="7" t="s">
        <v>20</v>
      </c>
      <c r="L31" s="7" t="s">
        <v>22</v>
      </c>
      <c r="M31" s="7" t="s">
        <v>23</v>
      </c>
      <c r="N31" s="7" t="s">
        <v>23</v>
      </c>
      <c r="O31" s="7" t="s">
        <v>20</v>
      </c>
      <c r="P31" s="7" t="s">
        <v>20</v>
      </c>
    </row>
    <row r="32" spans="1:17" x14ac:dyDescent="0.3">
      <c r="A32" s="7" t="s">
        <v>5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 t="s">
        <v>23</v>
      </c>
      <c r="M32" s="7" t="s">
        <v>23</v>
      </c>
      <c r="N32" s="7" t="s">
        <v>23</v>
      </c>
      <c r="O32" s="7" t="s">
        <v>20</v>
      </c>
      <c r="P32" s="7" t="s">
        <v>20</v>
      </c>
    </row>
    <row r="33" spans="1:36" x14ac:dyDescent="0.3">
      <c r="A33" s="7" t="s">
        <v>4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 t="s">
        <v>23</v>
      </c>
      <c r="N33" s="7" t="s">
        <v>20</v>
      </c>
      <c r="O33" s="7" t="s">
        <v>20</v>
      </c>
      <c r="P33" s="7" t="s">
        <v>20</v>
      </c>
    </row>
    <row r="34" spans="1:36" x14ac:dyDescent="0.3">
      <c r="A34" s="7" t="s">
        <v>3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 t="s">
        <v>23</v>
      </c>
      <c r="O34" s="7" t="s">
        <v>20</v>
      </c>
      <c r="P34" s="7" t="s">
        <v>20</v>
      </c>
    </row>
    <row r="35" spans="1:36" x14ac:dyDescent="0.3">
      <c r="A35" s="7" t="s">
        <v>2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 t="s">
        <v>20</v>
      </c>
      <c r="P35" s="7" t="s">
        <v>20</v>
      </c>
    </row>
    <row r="36" spans="1:36" x14ac:dyDescent="0.3">
      <c r="A36" s="7" t="s">
        <v>1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 t="s">
        <v>20</v>
      </c>
    </row>
    <row r="37" spans="1:36" x14ac:dyDescent="0.3">
      <c r="A37" s="7" t="s">
        <v>0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</row>
    <row r="40" spans="1:36" ht="17.399999999999999" x14ac:dyDescent="0.3">
      <c r="A40" s="5" t="s">
        <v>24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T40" s="5" t="s">
        <v>25</v>
      </c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</row>
    <row r="41" spans="1:36" ht="27.6" x14ac:dyDescent="0.3">
      <c r="A41" s="6" t="s">
        <v>16</v>
      </c>
      <c r="B41" s="6">
        <v>1</v>
      </c>
      <c r="C41" s="6">
        <v>2</v>
      </c>
      <c r="D41" s="6">
        <v>3</v>
      </c>
      <c r="E41" s="6">
        <v>4</v>
      </c>
      <c r="F41" s="6">
        <v>5</v>
      </c>
      <c r="G41" s="6">
        <v>6</v>
      </c>
      <c r="H41" s="6">
        <v>7</v>
      </c>
      <c r="I41" s="6">
        <v>8</v>
      </c>
      <c r="J41" s="6">
        <v>9</v>
      </c>
      <c r="K41" s="6">
        <v>10</v>
      </c>
      <c r="L41" s="6">
        <v>11</v>
      </c>
      <c r="M41" s="6">
        <v>12</v>
      </c>
      <c r="N41" s="6">
        <v>13</v>
      </c>
      <c r="O41" s="6">
        <v>14</v>
      </c>
      <c r="P41" s="6">
        <v>15</v>
      </c>
      <c r="Q41" s="6" t="s">
        <v>17</v>
      </c>
      <c r="T41" s="6" t="s">
        <v>16</v>
      </c>
      <c r="U41" s="6">
        <v>1</v>
      </c>
      <c r="V41" s="6">
        <v>2</v>
      </c>
      <c r="W41" s="6">
        <v>3</v>
      </c>
      <c r="X41" s="6">
        <v>4</v>
      </c>
      <c r="Y41" s="6">
        <v>5</v>
      </c>
      <c r="Z41" s="6">
        <v>6</v>
      </c>
      <c r="AA41" s="6">
        <v>7</v>
      </c>
      <c r="AB41" s="6">
        <v>8</v>
      </c>
      <c r="AC41" s="6">
        <v>9</v>
      </c>
      <c r="AD41" s="6">
        <v>10</v>
      </c>
      <c r="AE41" s="6">
        <v>11</v>
      </c>
      <c r="AF41" s="6">
        <v>12</v>
      </c>
      <c r="AG41" s="6">
        <v>13</v>
      </c>
      <c r="AH41" s="6">
        <v>14</v>
      </c>
      <c r="AI41" s="6">
        <v>15</v>
      </c>
      <c r="AJ41" s="6" t="s">
        <v>17</v>
      </c>
    </row>
    <row r="42" spans="1:36" x14ac:dyDescent="0.3">
      <c r="A42" s="7" t="s">
        <v>14</v>
      </c>
      <c r="B42" s="7">
        <v>1</v>
      </c>
      <c r="C42" s="7">
        <v>1</v>
      </c>
      <c r="D42" s="7">
        <v>1</v>
      </c>
      <c r="E42" s="7">
        <v>1</v>
      </c>
      <c r="F42" s="7">
        <v>1</v>
      </c>
      <c r="G42" s="7">
        <v>1</v>
      </c>
      <c r="H42" s="7">
        <v>1</v>
      </c>
      <c r="I42" s="7">
        <v>1</v>
      </c>
      <c r="J42" s="7">
        <v>1</v>
      </c>
      <c r="K42" s="7">
        <v>1</v>
      </c>
      <c r="L42" s="7">
        <v>1</v>
      </c>
      <c r="M42" s="7">
        <v>1</v>
      </c>
      <c r="N42" s="7">
        <v>1</v>
      </c>
      <c r="O42" s="7">
        <v>1</v>
      </c>
      <c r="P42" s="7">
        <v>1</v>
      </c>
      <c r="Q42" s="7">
        <v>15</v>
      </c>
      <c r="T42" s="7" t="s">
        <v>14</v>
      </c>
      <c r="U42" s="12">
        <v>1</v>
      </c>
      <c r="V42" s="12">
        <v>1</v>
      </c>
      <c r="W42" s="12">
        <v>1</v>
      </c>
      <c r="X42" s="12">
        <v>1</v>
      </c>
      <c r="Y42" s="12">
        <v>1</v>
      </c>
      <c r="Z42" s="12">
        <v>1</v>
      </c>
      <c r="AA42" s="12">
        <v>1</v>
      </c>
      <c r="AB42" s="12">
        <v>1</v>
      </c>
      <c r="AC42" s="12">
        <v>1</v>
      </c>
      <c r="AD42" s="12">
        <v>1</v>
      </c>
      <c r="AE42" s="12">
        <v>1</v>
      </c>
      <c r="AF42" s="12">
        <v>1</v>
      </c>
      <c r="AG42" s="12">
        <v>1</v>
      </c>
      <c r="AH42" s="12">
        <v>1</v>
      </c>
      <c r="AI42" s="12">
        <v>1</v>
      </c>
      <c r="AJ42" s="7">
        <v>15</v>
      </c>
    </row>
    <row r="43" spans="1:36" x14ac:dyDescent="0.3">
      <c r="A43" s="7" t="s">
        <v>13</v>
      </c>
      <c r="B43" s="7">
        <v>0</v>
      </c>
      <c r="C43" s="7">
        <v>1</v>
      </c>
      <c r="D43" s="7">
        <v>0</v>
      </c>
      <c r="E43" s="7">
        <v>0</v>
      </c>
      <c r="F43" s="7">
        <v>0</v>
      </c>
      <c r="G43" s="7">
        <v>0</v>
      </c>
      <c r="H43" s="7">
        <v>1</v>
      </c>
      <c r="I43" s="7">
        <v>0</v>
      </c>
      <c r="J43" s="7">
        <v>1</v>
      </c>
      <c r="K43" s="7">
        <v>0</v>
      </c>
      <c r="L43" s="7">
        <v>0</v>
      </c>
      <c r="M43" s="7">
        <v>1</v>
      </c>
      <c r="N43" s="7">
        <v>1</v>
      </c>
      <c r="O43" s="7">
        <v>1</v>
      </c>
      <c r="P43" s="7">
        <v>1</v>
      </c>
      <c r="Q43" s="7">
        <v>7</v>
      </c>
      <c r="T43" s="7" t="s">
        <v>13</v>
      </c>
      <c r="U43" s="12">
        <v>0</v>
      </c>
      <c r="V43" s="12">
        <v>1</v>
      </c>
      <c r="W43" s="12">
        <v>0</v>
      </c>
      <c r="X43" s="16" t="s">
        <v>26</v>
      </c>
      <c r="Y43" s="12">
        <v>0</v>
      </c>
      <c r="Z43" s="16" t="s">
        <v>26</v>
      </c>
      <c r="AA43" s="12">
        <v>1</v>
      </c>
      <c r="AB43" s="12">
        <v>0</v>
      </c>
      <c r="AC43" s="12">
        <v>1</v>
      </c>
      <c r="AD43" s="16" t="s">
        <v>26</v>
      </c>
      <c r="AE43" s="16" t="s">
        <v>26</v>
      </c>
      <c r="AF43" s="12">
        <v>1</v>
      </c>
      <c r="AG43" s="12">
        <v>1</v>
      </c>
      <c r="AH43" s="12">
        <v>1</v>
      </c>
      <c r="AI43" s="12">
        <v>1</v>
      </c>
      <c r="AJ43" s="7">
        <v>11</v>
      </c>
    </row>
    <row r="44" spans="1:36" x14ac:dyDescent="0.3">
      <c r="A44" s="7" t="s">
        <v>12</v>
      </c>
      <c r="B44" s="7">
        <v>0</v>
      </c>
      <c r="C44" s="7">
        <v>0</v>
      </c>
      <c r="D44" s="7">
        <v>1</v>
      </c>
      <c r="E44" s="7">
        <v>1</v>
      </c>
      <c r="F44" s="7">
        <v>0</v>
      </c>
      <c r="G44" s="7">
        <v>1</v>
      </c>
      <c r="H44" s="7">
        <v>0</v>
      </c>
      <c r="I44" s="7">
        <v>0</v>
      </c>
      <c r="J44" s="7">
        <v>1</v>
      </c>
      <c r="K44" s="7">
        <v>1</v>
      </c>
      <c r="L44" s="7">
        <v>1</v>
      </c>
      <c r="M44" s="7">
        <v>1</v>
      </c>
      <c r="N44" s="7">
        <v>1</v>
      </c>
      <c r="O44" s="7">
        <v>1</v>
      </c>
      <c r="P44" s="7">
        <v>1</v>
      </c>
      <c r="Q44" s="7">
        <v>10</v>
      </c>
      <c r="T44" s="7" t="s">
        <v>12</v>
      </c>
      <c r="U44" s="12">
        <v>0</v>
      </c>
      <c r="V44" s="12">
        <v>0</v>
      </c>
      <c r="W44" s="12">
        <v>1</v>
      </c>
      <c r="X44" s="12">
        <v>1</v>
      </c>
      <c r="Y44" s="12">
        <v>0</v>
      </c>
      <c r="Z44" s="12">
        <v>1</v>
      </c>
      <c r="AA44" s="16" t="s">
        <v>26</v>
      </c>
      <c r="AB44" s="12">
        <v>0</v>
      </c>
      <c r="AC44" s="12">
        <v>1</v>
      </c>
      <c r="AD44" s="12">
        <v>1</v>
      </c>
      <c r="AE44" s="12">
        <v>1</v>
      </c>
      <c r="AF44" s="12">
        <v>1</v>
      </c>
      <c r="AG44" s="12">
        <v>1</v>
      </c>
      <c r="AH44" s="12">
        <v>1</v>
      </c>
      <c r="AI44" s="12">
        <v>1</v>
      </c>
      <c r="AJ44" s="7">
        <v>11</v>
      </c>
    </row>
    <row r="45" spans="1:36" x14ac:dyDescent="0.3">
      <c r="A45" s="7" t="s">
        <v>11</v>
      </c>
      <c r="B45" s="7">
        <v>0</v>
      </c>
      <c r="C45" s="7">
        <v>0</v>
      </c>
      <c r="D45" s="7">
        <v>0</v>
      </c>
      <c r="E45" s="7">
        <v>1</v>
      </c>
      <c r="F45" s="7">
        <v>0</v>
      </c>
      <c r="G45" s="7">
        <v>1</v>
      </c>
      <c r="H45" s="7">
        <v>0</v>
      </c>
      <c r="I45" s="7">
        <v>0</v>
      </c>
      <c r="J45" s="7">
        <v>0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8</v>
      </c>
      <c r="T45" s="7" t="s">
        <v>11</v>
      </c>
      <c r="U45" s="12">
        <v>0</v>
      </c>
      <c r="V45" s="12">
        <v>0</v>
      </c>
      <c r="W45" s="12">
        <v>0</v>
      </c>
      <c r="X45" s="12">
        <v>1</v>
      </c>
      <c r="Y45" s="12">
        <v>0</v>
      </c>
      <c r="Z45" s="12">
        <v>1</v>
      </c>
      <c r="AA45" s="16" t="s">
        <v>26</v>
      </c>
      <c r="AB45" s="12">
        <v>0</v>
      </c>
      <c r="AC45" s="16" t="s">
        <v>26</v>
      </c>
      <c r="AD45" s="12">
        <v>1</v>
      </c>
      <c r="AE45" s="12">
        <v>1</v>
      </c>
      <c r="AF45" s="12">
        <v>1</v>
      </c>
      <c r="AG45" s="12">
        <v>1</v>
      </c>
      <c r="AH45" s="12">
        <v>1</v>
      </c>
      <c r="AI45" s="12">
        <v>1</v>
      </c>
      <c r="AJ45" s="7">
        <v>10</v>
      </c>
    </row>
    <row r="46" spans="1:36" ht="14.25" customHeight="1" x14ac:dyDescent="0.3">
      <c r="A46" s="7" t="s">
        <v>10</v>
      </c>
      <c r="B46" s="7">
        <v>0</v>
      </c>
      <c r="C46" s="7">
        <v>1</v>
      </c>
      <c r="D46" s="7">
        <v>1</v>
      </c>
      <c r="E46" s="7">
        <v>1</v>
      </c>
      <c r="F46" s="7">
        <v>1</v>
      </c>
      <c r="G46" s="7">
        <v>1</v>
      </c>
      <c r="H46" s="7">
        <v>0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13</v>
      </c>
      <c r="T46" s="7" t="s">
        <v>10</v>
      </c>
      <c r="U46" s="12">
        <v>0</v>
      </c>
      <c r="V46" s="12">
        <v>1</v>
      </c>
      <c r="W46" s="12">
        <v>1</v>
      </c>
      <c r="X46" s="12">
        <v>1</v>
      </c>
      <c r="Y46" s="12">
        <v>1</v>
      </c>
      <c r="Z46" s="12">
        <v>1</v>
      </c>
      <c r="AA46" s="16" t="s">
        <v>26</v>
      </c>
      <c r="AB46" s="12">
        <v>1</v>
      </c>
      <c r="AC46" s="12">
        <v>1</v>
      </c>
      <c r="AD46" s="12">
        <v>1</v>
      </c>
      <c r="AE46" s="12">
        <v>1</v>
      </c>
      <c r="AF46" s="12">
        <v>1</v>
      </c>
      <c r="AG46" s="12">
        <v>1</v>
      </c>
      <c r="AH46" s="12">
        <v>1</v>
      </c>
      <c r="AI46" s="12">
        <v>1</v>
      </c>
      <c r="AJ46" s="7">
        <v>14</v>
      </c>
    </row>
    <row r="47" spans="1:36" x14ac:dyDescent="0.3">
      <c r="A47" s="7" t="s">
        <v>9</v>
      </c>
      <c r="B47" s="7">
        <v>0</v>
      </c>
      <c r="C47" s="7">
        <v>0</v>
      </c>
      <c r="D47" s="7">
        <v>0</v>
      </c>
      <c r="E47" s="7">
        <v>1</v>
      </c>
      <c r="F47" s="7">
        <v>0</v>
      </c>
      <c r="G47" s="7">
        <v>1</v>
      </c>
      <c r="H47" s="7">
        <v>0</v>
      </c>
      <c r="I47" s="7">
        <v>0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9</v>
      </c>
      <c r="T47" s="7" t="s">
        <v>9</v>
      </c>
      <c r="U47" s="12">
        <v>0</v>
      </c>
      <c r="V47" s="12">
        <v>0</v>
      </c>
      <c r="W47" s="12">
        <v>0</v>
      </c>
      <c r="X47" s="12">
        <v>1</v>
      </c>
      <c r="Y47" s="12">
        <v>0</v>
      </c>
      <c r="Z47" s="12">
        <v>1</v>
      </c>
      <c r="AA47" s="16" t="s">
        <v>26</v>
      </c>
      <c r="AB47" s="12">
        <v>0</v>
      </c>
      <c r="AC47" s="12">
        <v>1</v>
      </c>
      <c r="AD47" s="12">
        <v>1</v>
      </c>
      <c r="AE47" s="12">
        <v>1</v>
      </c>
      <c r="AF47" s="12">
        <v>1</v>
      </c>
      <c r="AG47" s="12">
        <v>1</v>
      </c>
      <c r="AH47" s="12">
        <v>1</v>
      </c>
      <c r="AI47" s="12">
        <v>1</v>
      </c>
      <c r="AJ47" s="7">
        <v>10</v>
      </c>
    </row>
    <row r="48" spans="1:36" x14ac:dyDescent="0.3">
      <c r="A48" s="7" t="s">
        <v>8</v>
      </c>
      <c r="B48" s="7">
        <v>0</v>
      </c>
      <c r="C48" s="7">
        <v>0</v>
      </c>
      <c r="D48" s="7">
        <v>0</v>
      </c>
      <c r="E48" s="7">
        <v>1</v>
      </c>
      <c r="F48" s="7">
        <v>0</v>
      </c>
      <c r="G48" s="7">
        <v>1</v>
      </c>
      <c r="H48" s="7">
        <v>1</v>
      </c>
      <c r="I48" s="7">
        <v>0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10</v>
      </c>
      <c r="T48" s="7" t="s">
        <v>8</v>
      </c>
      <c r="U48" s="12">
        <v>0</v>
      </c>
      <c r="V48" s="12">
        <v>0</v>
      </c>
      <c r="W48" s="12">
        <v>0</v>
      </c>
      <c r="X48" s="12">
        <v>1</v>
      </c>
      <c r="Y48" s="12">
        <v>0</v>
      </c>
      <c r="Z48" s="12">
        <v>1</v>
      </c>
      <c r="AA48" s="12">
        <v>1</v>
      </c>
      <c r="AB48" s="12">
        <v>0</v>
      </c>
      <c r="AC48" s="12">
        <v>1</v>
      </c>
      <c r="AD48" s="12">
        <v>1</v>
      </c>
      <c r="AE48" s="12">
        <v>1</v>
      </c>
      <c r="AF48" s="12">
        <v>1</v>
      </c>
      <c r="AG48" s="12">
        <v>1</v>
      </c>
      <c r="AH48" s="12">
        <v>1</v>
      </c>
      <c r="AI48" s="12">
        <v>1</v>
      </c>
      <c r="AJ48" s="7">
        <v>10</v>
      </c>
    </row>
    <row r="49" spans="1:36" x14ac:dyDescent="0.3">
      <c r="A49" s="7" t="s">
        <v>7</v>
      </c>
      <c r="B49" s="7">
        <v>0</v>
      </c>
      <c r="C49" s="7">
        <v>0</v>
      </c>
      <c r="D49" s="7">
        <v>0</v>
      </c>
      <c r="E49" s="7">
        <v>1</v>
      </c>
      <c r="F49" s="7">
        <v>0</v>
      </c>
      <c r="G49" s="7">
        <v>0</v>
      </c>
      <c r="H49" s="7">
        <v>0</v>
      </c>
      <c r="I49" s="7">
        <v>1</v>
      </c>
      <c r="J49" s="7">
        <v>1</v>
      </c>
      <c r="K49" s="7">
        <v>1</v>
      </c>
      <c r="L49" s="7">
        <v>0</v>
      </c>
      <c r="M49" s="7">
        <v>1</v>
      </c>
      <c r="N49" s="7">
        <v>1</v>
      </c>
      <c r="O49" s="7">
        <v>1</v>
      </c>
      <c r="P49" s="7">
        <v>1</v>
      </c>
      <c r="Q49" s="7">
        <v>8</v>
      </c>
      <c r="T49" s="7" t="s">
        <v>7</v>
      </c>
      <c r="U49" s="12">
        <v>0</v>
      </c>
      <c r="V49" s="12">
        <v>0</v>
      </c>
      <c r="W49" s="12">
        <v>0</v>
      </c>
      <c r="X49" s="12">
        <v>1</v>
      </c>
      <c r="Y49" s="12">
        <v>0</v>
      </c>
      <c r="Z49" s="16" t="s">
        <v>26</v>
      </c>
      <c r="AA49" s="16" t="s">
        <v>26</v>
      </c>
      <c r="AB49" s="12">
        <v>1</v>
      </c>
      <c r="AC49" s="12">
        <v>1</v>
      </c>
      <c r="AD49" s="12">
        <v>1</v>
      </c>
      <c r="AE49" s="16" t="s">
        <v>26</v>
      </c>
      <c r="AF49" s="12">
        <v>1</v>
      </c>
      <c r="AG49" s="12">
        <v>1</v>
      </c>
      <c r="AH49" s="12">
        <v>1</v>
      </c>
      <c r="AI49" s="12">
        <v>1</v>
      </c>
      <c r="AJ49" s="7">
        <v>11</v>
      </c>
    </row>
    <row r="50" spans="1:36" x14ac:dyDescent="0.3">
      <c r="A50" s="7" t="s">
        <v>6</v>
      </c>
      <c r="B50" s="7">
        <v>0</v>
      </c>
      <c r="C50" s="7">
        <v>0</v>
      </c>
      <c r="D50" s="7">
        <v>0</v>
      </c>
      <c r="E50" s="7">
        <v>1</v>
      </c>
      <c r="F50" s="7">
        <v>0</v>
      </c>
      <c r="G50" s="7">
        <v>0</v>
      </c>
      <c r="H50" s="7">
        <v>0</v>
      </c>
      <c r="I50" s="7">
        <v>0</v>
      </c>
      <c r="J50" s="7">
        <v>1</v>
      </c>
      <c r="K50" s="7">
        <v>1</v>
      </c>
      <c r="L50" s="7">
        <v>0</v>
      </c>
      <c r="M50" s="7">
        <v>1</v>
      </c>
      <c r="N50" s="7">
        <v>1</v>
      </c>
      <c r="O50" s="7">
        <v>1</v>
      </c>
      <c r="P50" s="7">
        <v>1</v>
      </c>
      <c r="Q50" s="7">
        <v>7</v>
      </c>
      <c r="T50" s="7" t="s">
        <v>6</v>
      </c>
      <c r="U50" s="12">
        <v>0</v>
      </c>
      <c r="V50" s="12">
        <v>0</v>
      </c>
      <c r="W50" s="12">
        <v>0</v>
      </c>
      <c r="X50" s="12">
        <v>1</v>
      </c>
      <c r="Y50" s="12">
        <v>0</v>
      </c>
      <c r="Z50" s="16" t="s">
        <v>26</v>
      </c>
      <c r="AA50" s="16" t="s">
        <v>26</v>
      </c>
      <c r="AB50" s="12">
        <v>0</v>
      </c>
      <c r="AC50" s="12">
        <v>1</v>
      </c>
      <c r="AD50" s="12">
        <v>1</v>
      </c>
      <c r="AE50" s="16" t="s">
        <v>26</v>
      </c>
      <c r="AF50" s="12">
        <v>1</v>
      </c>
      <c r="AG50" s="12">
        <v>1</v>
      </c>
      <c r="AH50" s="12">
        <v>1</v>
      </c>
      <c r="AI50" s="12">
        <v>1</v>
      </c>
      <c r="AJ50" s="7">
        <v>10</v>
      </c>
    </row>
    <row r="51" spans="1:36" x14ac:dyDescent="0.3">
      <c r="A51" s="7" t="s">
        <v>5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1</v>
      </c>
      <c r="H51" s="7">
        <v>0</v>
      </c>
      <c r="I51" s="7">
        <v>0</v>
      </c>
      <c r="J51" s="7">
        <v>0</v>
      </c>
      <c r="K51" s="7">
        <v>1</v>
      </c>
      <c r="L51" s="7">
        <v>1</v>
      </c>
      <c r="M51" s="7">
        <v>1</v>
      </c>
      <c r="N51" s="7">
        <v>1</v>
      </c>
      <c r="O51" s="7">
        <v>1</v>
      </c>
      <c r="P51" s="7">
        <v>1</v>
      </c>
      <c r="Q51" s="7">
        <v>7</v>
      </c>
      <c r="T51" s="7" t="s">
        <v>5</v>
      </c>
      <c r="U51" s="12">
        <v>0</v>
      </c>
      <c r="V51" s="12">
        <v>0</v>
      </c>
      <c r="W51" s="12">
        <v>0</v>
      </c>
      <c r="X51" s="16" t="s">
        <v>26</v>
      </c>
      <c r="Y51" s="12">
        <v>0</v>
      </c>
      <c r="Z51" s="12">
        <v>1</v>
      </c>
      <c r="AA51" s="16" t="s">
        <v>26</v>
      </c>
      <c r="AB51" s="12">
        <v>0</v>
      </c>
      <c r="AC51" s="16" t="s">
        <v>26</v>
      </c>
      <c r="AD51" s="12">
        <v>1</v>
      </c>
      <c r="AE51" s="12">
        <v>1</v>
      </c>
      <c r="AF51" s="12">
        <v>1</v>
      </c>
      <c r="AG51" s="12">
        <v>1</v>
      </c>
      <c r="AH51" s="12">
        <v>1</v>
      </c>
      <c r="AI51" s="12">
        <v>1</v>
      </c>
      <c r="AJ51" s="7">
        <v>10</v>
      </c>
    </row>
    <row r="52" spans="1:36" x14ac:dyDescent="0.3">
      <c r="A52" s="7" t="s">
        <v>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1</v>
      </c>
      <c r="H52" s="7">
        <v>1</v>
      </c>
      <c r="I52" s="7">
        <v>0</v>
      </c>
      <c r="J52" s="7">
        <v>1</v>
      </c>
      <c r="K52" s="7">
        <v>1</v>
      </c>
      <c r="L52" s="7">
        <v>1</v>
      </c>
      <c r="M52" s="7">
        <v>1</v>
      </c>
      <c r="N52" s="7">
        <v>1</v>
      </c>
      <c r="O52" s="7">
        <v>1</v>
      </c>
      <c r="P52" s="7">
        <v>1</v>
      </c>
      <c r="Q52" s="7">
        <v>9</v>
      </c>
      <c r="T52" s="7" t="s">
        <v>4</v>
      </c>
      <c r="U52" s="12">
        <v>0</v>
      </c>
      <c r="V52" s="12">
        <v>0</v>
      </c>
      <c r="W52" s="12">
        <v>0</v>
      </c>
      <c r="X52" s="16" t="s">
        <v>26</v>
      </c>
      <c r="Y52" s="12">
        <v>0</v>
      </c>
      <c r="Z52" s="12">
        <v>1</v>
      </c>
      <c r="AA52" s="12">
        <v>1</v>
      </c>
      <c r="AB52" s="12">
        <v>0</v>
      </c>
      <c r="AC52" s="12">
        <v>1</v>
      </c>
      <c r="AD52" s="12">
        <v>1</v>
      </c>
      <c r="AE52" s="12">
        <v>1</v>
      </c>
      <c r="AF52" s="12">
        <v>1</v>
      </c>
      <c r="AG52" s="12">
        <v>1</v>
      </c>
      <c r="AH52" s="12">
        <v>1</v>
      </c>
      <c r="AI52" s="12">
        <v>1</v>
      </c>
      <c r="AJ52" s="7">
        <v>10</v>
      </c>
    </row>
    <row r="53" spans="1:36" x14ac:dyDescent="0.3">
      <c r="A53" s="7" t="s">
        <v>3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1</v>
      </c>
      <c r="H53" s="7">
        <v>1</v>
      </c>
      <c r="I53" s="7">
        <v>0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  <c r="O53" s="7">
        <v>1</v>
      </c>
      <c r="P53" s="7">
        <v>1</v>
      </c>
      <c r="Q53" s="7">
        <v>9</v>
      </c>
      <c r="T53" s="7" t="s">
        <v>3</v>
      </c>
      <c r="U53" s="12">
        <v>0</v>
      </c>
      <c r="V53" s="12">
        <v>0</v>
      </c>
      <c r="W53" s="12">
        <v>0</v>
      </c>
      <c r="X53" s="16" t="s">
        <v>26</v>
      </c>
      <c r="Y53" s="12">
        <v>0</v>
      </c>
      <c r="Z53" s="12">
        <v>1</v>
      </c>
      <c r="AA53" s="12">
        <v>1</v>
      </c>
      <c r="AB53" s="12">
        <v>0</v>
      </c>
      <c r="AC53" s="12">
        <v>1</v>
      </c>
      <c r="AD53" s="12">
        <v>1</v>
      </c>
      <c r="AE53" s="12">
        <v>1</v>
      </c>
      <c r="AF53" s="12">
        <v>1</v>
      </c>
      <c r="AG53" s="12">
        <v>1</v>
      </c>
      <c r="AH53" s="12">
        <v>1</v>
      </c>
      <c r="AI53" s="12">
        <v>1</v>
      </c>
      <c r="AJ53" s="7">
        <v>10</v>
      </c>
    </row>
    <row r="54" spans="1:36" x14ac:dyDescent="0.3">
      <c r="A54" s="7" t="s">
        <v>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1</v>
      </c>
      <c r="H54" s="7">
        <v>1</v>
      </c>
      <c r="I54" s="7">
        <v>0</v>
      </c>
      <c r="J54" s="7">
        <v>1</v>
      </c>
      <c r="K54" s="7">
        <v>1</v>
      </c>
      <c r="L54" s="7">
        <v>0</v>
      </c>
      <c r="M54" s="7">
        <v>1</v>
      </c>
      <c r="N54" s="7">
        <v>1</v>
      </c>
      <c r="O54" s="7">
        <v>1</v>
      </c>
      <c r="P54" s="7">
        <v>1</v>
      </c>
      <c r="Q54" s="7">
        <v>8</v>
      </c>
      <c r="T54" s="7" t="s">
        <v>2</v>
      </c>
      <c r="U54" s="12">
        <v>0</v>
      </c>
      <c r="V54" s="12">
        <v>0</v>
      </c>
      <c r="W54" s="12">
        <v>0</v>
      </c>
      <c r="X54" s="16" t="s">
        <v>26</v>
      </c>
      <c r="Y54" s="12">
        <v>0</v>
      </c>
      <c r="Z54" s="12">
        <v>1</v>
      </c>
      <c r="AA54" s="12">
        <v>1</v>
      </c>
      <c r="AB54" s="12">
        <v>0</v>
      </c>
      <c r="AC54" s="12">
        <v>1</v>
      </c>
      <c r="AD54" s="12">
        <v>1</v>
      </c>
      <c r="AE54" s="16" t="s">
        <v>26</v>
      </c>
      <c r="AF54" s="12">
        <v>1</v>
      </c>
      <c r="AG54" s="12">
        <v>1</v>
      </c>
      <c r="AH54" s="12">
        <v>1</v>
      </c>
      <c r="AI54" s="12">
        <v>1</v>
      </c>
      <c r="AJ54" s="7">
        <v>10</v>
      </c>
    </row>
    <row r="55" spans="1:36" x14ac:dyDescent="0.3">
      <c r="A55" s="7" t="s">
        <v>1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1</v>
      </c>
      <c r="P55" s="7">
        <v>1</v>
      </c>
      <c r="Q55" s="7">
        <v>2</v>
      </c>
      <c r="T55" s="7" t="s">
        <v>1</v>
      </c>
      <c r="U55" s="12">
        <v>0</v>
      </c>
      <c r="V55" s="12">
        <v>0</v>
      </c>
      <c r="W55" s="12">
        <v>0</v>
      </c>
      <c r="X55" s="12">
        <v>0</v>
      </c>
      <c r="Y55" s="12">
        <v>0</v>
      </c>
      <c r="Z55" s="12">
        <v>0</v>
      </c>
      <c r="AA55" s="12">
        <v>0</v>
      </c>
      <c r="AB55" s="12">
        <v>0</v>
      </c>
      <c r="AC55" s="12">
        <v>0</v>
      </c>
      <c r="AD55" s="12">
        <v>0</v>
      </c>
      <c r="AE55" s="12">
        <v>0</v>
      </c>
      <c r="AF55" s="12">
        <v>0</v>
      </c>
      <c r="AG55" s="12">
        <v>0</v>
      </c>
      <c r="AH55" s="12">
        <v>1</v>
      </c>
      <c r="AI55" s="12">
        <v>1</v>
      </c>
      <c r="AJ55" s="7">
        <v>2</v>
      </c>
    </row>
    <row r="56" spans="1:36" x14ac:dyDescent="0.3">
      <c r="A56" s="7" t="s">
        <v>0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1</v>
      </c>
      <c r="Q56" s="7">
        <v>1</v>
      </c>
      <c r="T56" s="7" t="s">
        <v>0</v>
      </c>
      <c r="U56" s="12">
        <v>0</v>
      </c>
      <c r="V56" s="12">
        <v>0</v>
      </c>
      <c r="W56" s="12">
        <v>0</v>
      </c>
      <c r="X56" s="12">
        <v>0</v>
      </c>
      <c r="Y56" s="12">
        <v>0</v>
      </c>
      <c r="Z56" s="12">
        <v>0</v>
      </c>
      <c r="AA56" s="12">
        <v>0</v>
      </c>
      <c r="AB56" s="12">
        <v>0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1</v>
      </c>
      <c r="AJ56" s="7">
        <v>1</v>
      </c>
    </row>
    <row r="57" spans="1:36" ht="41.4" x14ac:dyDescent="0.3">
      <c r="A57" s="7" t="s">
        <v>18</v>
      </c>
      <c r="B57" s="7">
        <v>1</v>
      </c>
      <c r="C57" s="7">
        <v>3</v>
      </c>
      <c r="D57" s="7">
        <v>3</v>
      </c>
      <c r="E57" s="7">
        <v>8</v>
      </c>
      <c r="F57" s="7">
        <v>2</v>
      </c>
      <c r="G57" s="7">
        <v>10</v>
      </c>
      <c r="H57" s="7">
        <v>6</v>
      </c>
      <c r="I57" s="7">
        <v>3</v>
      </c>
      <c r="J57" s="7">
        <v>11</v>
      </c>
      <c r="K57" s="7">
        <v>12</v>
      </c>
      <c r="L57" s="7">
        <v>9</v>
      </c>
      <c r="M57" s="7">
        <v>13</v>
      </c>
      <c r="N57" s="7">
        <v>13</v>
      </c>
      <c r="O57" s="7">
        <v>14</v>
      </c>
      <c r="P57" s="7">
        <v>15</v>
      </c>
      <c r="Q57" s="7"/>
      <c r="T57" s="7" t="s">
        <v>18</v>
      </c>
      <c r="U57" s="7">
        <v>1</v>
      </c>
      <c r="V57" s="7">
        <v>3</v>
      </c>
      <c r="W57" s="7">
        <v>3</v>
      </c>
      <c r="X57" s="7">
        <v>13</v>
      </c>
      <c r="Y57" s="7">
        <v>2</v>
      </c>
      <c r="Z57" s="7">
        <v>13</v>
      </c>
      <c r="AA57" s="7">
        <v>13</v>
      </c>
      <c r="AB57" s="7">
        <v>3</v>
      </c>
      <c r="AC57" s="7">
        <v>13</v>
      </c>
      <c r="AD57" s="7">
        <v>13</v>
      </c>
      <c r="AE57" s="7">
        <v>13</v>
      </c>
      <c r="AF57" s="7">
        <v>13</v>
      </c>
      <c r="AG57" s="7">
        <v>13</v>
      </c>
      <c r="AH57" s="7">
        <v>14</v>
      </c>
      <c r="AI57" s="7">
        <v>15</v>
      </c>
      <c r="AJ57" s="7"/>
    </row>
    <row r="61" spans="1:36" ht="17.399999999999999" x14ac:dyDescent="0.3">
      <c r="A61" s="5" t="s">
        <v>25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36" ht="27.6" x14ac:dyDescent="0.3">
      <c r="A62" s="6" t="s">
        <v>16</v>
      </c>
      <c r="B62" s="6">
        <v>1</v>
      </c>
      <c r="C62" s="6">
        <v>2</v>
      </c>
      <c r="D62" s="6">
        <v>3</v>
      </c>
      <c r="E62" s="6">
        <v>4</v>
      </c>
      <c r="F62" s="6">
        <v>5</v>
      </c>
      <c r="G62" s="6">
        <v>6</v>
      </c>
      <c r="H62" s="6">
        <v>7</v>
      </c>
      <c r="I62" s="6">
        <v>8</v>
      </c>
      <c r="J62" s="6">
        <v>9</v>
      </c>
      <c r="K62" s="6">
        <v>10</v>
      </c>
      <c r="L62" s="6">
        <v>11</v>
      </c>
      <c r="M62" s="6">
        <v>12</v>
      </c>
      <c r="N62" s="6">
        <v>13</v>
      </c>
      <c r="O62" s="6">
        <v>14</v>
      </c>
      <c r="P62" s="6">
        <v>15</v>
      </c>
      <c r="Q62" s="6" t="s">
        <v>17</v>
      </c>
    </row>
    <row r="63" spans="1:36" x14ac:dyDescent="0.3">
      <c r="A63" s="12" t="s">
        <v>14</v>
      </c>
      <c r="B63" s="12">
        <v>1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2">
        <v>1</v>
      </c>
      <c r="K63" s="12">
        <v>1</v>
      </c>
      <c r="L63" s="12">
        <v>1</v>
      </c>
      <c r="M63" s="12">
        <v>1</v>
      </c>
      <c r="N63" s="12">
        <v>1</v>
      </c>
      <c r="O63" s="12">
        <v>1</v>
      </c>
      <c r="P63" s="12">
        <v>1</v>
      </c>
      <c r="Q63" s="7">
        <v>15</v>
      </c>
    </row>
    <row r="64" spans="1:36" x14ac:dyDescent="0.3">
      <c r="A64" s="12" t="s">
        <v>13</v>
      </c>
      <c r="B64" s="12">
        <v>0</v>
      </c>
      <c r="C64" s="12">
        <v>1</v>
      </c>
      <c r="D64" s="12">
        <v>0</v>
      </c>
      <c r="E64" s="13" t="s">
        <v>26</v>
      </c>
      <c r="F64" s="12">
        <v>0</v>
      </c>
      <c r="G64" s="10" t="s">
        <v>26</v>
      </c>
      <c r="H64" s="13">
        <v>1</v>
      </c>
      <c r="I64" s="12">
        <v>0</v>
      </c>
      <c r="J64" s="12">
        <v>1</v>
      </c>
      <c r="K64" s="14" t="s">
        <v>26</v>
      </c>
      <c r="L64" s="15" t="s">
        <v>26</v>
      </c>
      <c r="M64" s="10">
        <v>1</v>
      </c>
      <c r="N64" s="14">
        <v>1</v>
      </c>
      <c r="O64" s="12">
        <v>1</v>
      </c>
      <c r="P64" s="12">
        <v>1</v>
      </c>
      <c r="Q64" s="7">
        <v>7</v>
      </c>
    </row>
    <row r="65" spans="1:17" s="17" customFormat="1" x14ac:dyDescent="0.3">
      <c r="A65" s="16" t="s">
        <v>12</v>
      </c>
      <c r="B65" s="16">
        <v>0</v>
      </c>
      <c r="C65" s="16">
        <v>0</v>
      </c>
      <c r="D65" s="16">
        <v>1</v>
      </c>
      <c r="E65" s="16">
        <v>1</v>
      </c>
      <c r="F65" s="16">
        <v>0</v>
      </c>
      <c r="G65" s="16">
        <v>1</v>
      </c>
      <c r="H65" s="16">
        <v>0</v>
      </c>
      <c r="I65" s="16">
        <v>0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1">
        <v>10</v>
      </c>
    </row>
    <row r="66" spans="1:17" x14ac:dyDescent="0.3">
      <c r="A66" s="12" t="s">
        <v>11</v>
      </c>
      <c r="B66" s="12">
        <v>0</v>
      </c>
      <c r="C66" s="12">
        <v>0</v>
      </c>
      <c r="D66" s="12">
        <v>0</v>
      </c>
      <c r="E66" s="12">
        <v>1</v>
      </c>
      <c r="F66" s="12">
        <v>0</v>
      </c>
      <c r="G66" s="12">
        <v>1</v>
      </c>
      <c r="H66" s="12">
        <v>0</v>
      </c>
      <c r="I66" s="12">
        <v>0</v>
      </c>
      <c r="J66" s="12">
        <v>0</v>
      </c>
      <c r="K66" s="12">
        <v>1</v>
      </c>
      <c r="L66" s="15">
        <v>1</v>
      </c>
      <c r="M66" s="12">
        <v>1</v>
      </c>
      <c r="N66" s="12">
        <v>1</v>
      </c>
      <c r="O66" s="12">
        <v>1</v>
      </c>
      <c r="P66" s="12">
        <v>1</v>
      </c>
      <c r="Q66" s="7">
        <v>8</v>
      </c>
    </row>
    <row r="67" spans="1:17" x14ac:dyDescent="0.3">
      <c r="A67" s="12" t="s">
        <v>10</v>
      </c>
      <c r="B67" s="12">
        <v>0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0</v>
      </c>
      <c r="I67" s="12">
        <v>1</v>
      </c>
      <c r="J67" s="12">
        <v>1</v>
      </c>
      <c r="K67" s="12">
        <v>1</v>
      </c>
      <c r="L67" s="12">
        <v>1</v>
      </c>
      <c r="M67" s="12">
        <v>1</v>
      </c>
      <c r="N67" s="12">
        <v>1</v>
      </c>
      <c r="O67" s="12">
        <v>1</v>
      </c>
      <c r="P67" s="12">
        <v>1</v>
      </c>
      <c r="Q67" s="7">
        <v>13</v>
      </c>
    </row>
    <row r="68" spans="1:17" x14ac:dyDescent="0.3">
      <c r="A68" s="12" t="s">
        <v>9</v>
      </c>
      <c r="B68" s="12">
        <v>0</v>
      </c>
      <c r="C68" s="12">
        <v>0</v>
      </c>
      <c r="D68" s="12">
        <v>0</v>
      </c>
      <c r="E68" s="12">
        <v>1</v>
      </c>
      <c r="F68" s="12">
        <v>0</v>
      </c>
      <c r="G68" s="12">
        <v>1</v>
      </c>
      <c r="H68" s="12">
        <v>0</v>
      </c>
      <c r="I68" s="12">
        <v>0</v>
      </c>
      <c r="J68" s="12">
        <v>1</v>
      </c>
      <c r="K68" s="12">
        <v>1</v>
      </c>
      <c r="L68" s="12">
        <v>1</v>
      </c>
      <c r="M68" s="12">
        <v>1</v>
      </c>
      <c r="N68" s="12">
        <v>1</v>
      </c>
      <c r="O68" s="12">
        <v>1</v>
      </c>
      <c r="P68" s="12">
        <v>1</v>
      </c>
      <c r="Q68" s="7">
        <v>9</v>
      </c>
    </row>
    <row r="69" spans="1:17" x14ac:dyDescent="0.3">
      <c r="A69" s="12" t="s">
        <v>8</v>
      </c>
      <c r="B69" s="12">
        <v>0</v>
      </c>
      <c r="C69" s="12">
        <v>0</v>
      </c>
      <c r="D69" s="12">
        <v>0</v>
      </c>
      <c r="E69" s="13">
        <v>1</v>
      </c>
      <c r="F69" s="12">
        <v>0</v>
      </c>
      <c r="G69" s="12">
        <v>1</v>
      </c>
      <c r="H69" s="12">
        <v>1</v>
      </c>
      <c r="I69" s="12">
        <v>0</v>
      </c>
      <c r="J69" s="12">
        <v>1</v>
      </c>
      <c r="K69" s="12">
        <v>1</v>
      </c>
      <c r="L69" s="12">
        <v>1</v>
      </c>
      <c r="M69" s="12">
        <v>1</v>
      </c>
      <c r="N69" s="12">
        <v>1</v>
      </c>
      <c r="O69" s="12">
        <v>1</v>
      </c>
      <c r="P69" s="12">
        <v>1</v>
      </c>
      <c r="Q69" s="7">
        <v>10</v>
      </c>
    </row>
    <row r="70" spans="1:17" x14ac:dyDescent="0.3">
      <c r="A70" s="12" t="s">
        <v>7</v>
      </c>
      <c r="B70" s="12">
        <v>0</v>
      </c>
      <c r="C70" s="12">
        <v>0</v>
      </c>
      <c r="D70" s="12">
        <v>0</v>
      </c>
      <c r="E70" s="12">
        <v>1</v>
      </c>
      <c r="F70" s="12">
        <v>0</v>
      </c>
      <c r="G70" s="12">
        <v>0</v>
      </c>
      <c r="H70" s="12">
        <v>0</v>
      </c>
      <c r="I70" s="12">
        <v>1</v>
      </c>
      <c r="J70" s="12">
        <v>1</v>
      </c>
      <c r="K70" s="12">
        <v>1</v>
      </c>
      <c r="L70" s="12">
        <v>0</v>
      </c>
      <c r="M70" s="12">
        <v>1</v>
      </c>
      <c r="N70" s="12">
        <v>1</v>
      </c>
      <c r="O70" s="12">
        <v>1</v>
      </c>
      <c r="P70" s="12">
        <v>1</v>
      </c>
      <c r="Q70" s="7">
        <v>8</v>
      </c>
    </row>
    <row r="71" spans="1:17" x14ac:dyDescent="0.3">
      <c r="A71" s="12" t="s">
        <v>6</v>
      </c>
      <c r="B71" s="12">
        <v>0</v>
      </c>
      <c r="C71" s="12">
        <v>0</v>
      </c>
      <c r="D71" s="12">
        <v>0</v>
      </c>
      <c r="E71" s="12">
        <v>1</v>
      </c>
      <c r="F71" s="12">
        <v>0</v>
      </c>
      <c r="G71" s="12">
        <v>0</v>
      </c>
      <c r="H71" s="12">
        <v>0</v>
      </c>
      <c r="I71" s="12">
        <v>0</v>
      </c>
      <c r="J71" s="12">
        <v>1</v>
      </c>
      <c r="K71" s="12">
        <v>1</v>
      </c>
      <c r="L71" s="12">
        <v>0</v>
      </c>
      <c r="M71" s="12">
        <v>1</v>
      </c>
      <c r="N71" s="12">
        <v>1</v>
      </c>
      <c r="O71" s="12">
        <v>1</v>
      </c>
      <c r="P71" s="12">
        <v>1</v>
      </c>
      <c r="Q71" s="7">
        <v>7</v>
      </c>
    </row>
    <row r="72" spans="1:17" x14ac:dyDescent="0.3">
      <c r="A72" s="12" t="s">
        <v>5</v>
      </c>
      <c r="B72" s="12">
        <v>0</v>
      </c>
      <c r="C72" s="12">
        <v>0</v>
      </c>
      <c r="D72" s="12">
        <v>0</v>
      </c>
      <c r="E72" s="12">
        <v>0</v>
      </c>
      <c r="F72" s="12">
        <v>0</v>
      </c>
      <c r="G72" s="12">
        <v>1</v>
      </c>
      <c r="H72" s="12">
        <v>0</v>
      </c>
      <c r="I72" s="12">
        <v>0</v>
      </c>
      <c r="J72" s="12">
        <v>0</v>
      </c>
      <c r="K72" s="12">
        <v>1</v>
      </c>
      <c r="L72" s="12">
        <v>1</v>
      </c>
      <c r="M72" s="12">
        <v>1</v>
      </c>
      <c r="N72" s="12">
        <v>1</v>
      </c>
      <c r="O72" s="12">
        <v>1</v>
      </c>
      <c r="P72" s="12">
        <v>1</v>
      </c>
      <c r="Q72" s="7">
        <v>7</v>
      </c>
    </row>
    <row r="73" spans="1:17" x14ac:dyDescent="0.3">
      <c r="A73" s="12" t="s">
        <v>4</v>
      </c>
      <c r="B73" s="12">
        <v>0</v>
      </c>
      <c r="C73" s="12">
        <v>0</v>
      </c>
      <c r="D73" s="12">
        <v>0</v>
      </c>
      <c r="E73" s="12">
        <v>0</v>
      </c>
      <c r="F73" s="12">
        <v>0</v>
      </c>
      <c r="G73" s="12">
        <v>1</v>
      </c>
      <c r="H73" s="12">
        <v>1</v>
      </c>
      <c r="I73" s="12">
        <v>0</v>
      </c>
      <c r="J73" s="12">
        <v>1</v>
      </c>
      <c r="K73" s="12">
        <v>1</v>
      </c>
      <c r="L73" s="12">
        <v>1</v>
      </c>
      <c r="M73" s="12">
        <v>1</v>
      </c>
      <c r="N73" s="12">
        <v>1</v>
      </c>
      <c r="O73" s="12">
        <v>1</v>
      </c>
      <c r="P73" s="12">
        <v>1</v>
      </c>
      <c r="Q73" s="7">
        <v>9</v>
      </c>
    </row>
    <row r="74" spans="1:17" x14ac:dyDescent="0.3">
      <c r="A74" s="12" t="s">
        <v>3</v>
      </c>
      <c r="B74" s="12">
        <v>0</v>
      </c>
      <c r="C74" s="12">
        <v>0</v>
      </c>
      <c r="D74" s="12">
        <v>0</v>
      </c>
      <c r="E74" s="12">
        <v>0</v>
      </c>
      <c r="F74" s="12">
        <v>0</v>
      </c>
      <c r="G74" s="10">
        <v>1</v>
      </c>
      <c r="H74" s="12">
        <v>1</v>
      </c>
      <c r="I74" s="12">
        <v>0</v>
      </c>
      <c r="J74" s="12">
        <v>1</v>
      </c>
      <c r="K74" s="12">
        <v>1</v>
      </c>
      <c r="L74" s="12">
        <v>1</v>
      </c>
      <c r="M74" s="12">
        <v>1</v>
      </c>
      <c r="N74" s="12">
        <v>1</v>
      </c>
      <c r="O74" s="12">
        <v>1</v>
      </c>
      <c r="P74" s="12">
        <v>1</v>
      </c>
      <c r="Q74" s="7">
        <v>9</v>
      </c>
    </row>
    <row r="75" spans="1:17" x14ac:dyDescent="0.3">
      <c r="A75" s="12" t="s">
        <v>2</v>
      </c>
      <c r="B75" s="12">
        <v>0</v>
      </c>
      <c r="C75" s="12">
        <v>0</v>
      </c>
      <c r="D75" s="12">
        <v>0</v>
      </c>
      <c r="E75" s="12">
        <v>0</v>
      </c>
      <c r="F75" s="12">
        <v>0</v>
      </c>
      <c r="G75" s="12">
        <v>1</v>
      </c>
      <c r="H75" s="12">
        <v>1</v>
      </c>
      <c r="I75" s="12">
        <v>0</v>
      </c>
      <c r="J75" s="12">
        <v>1</v>
      </c>
      <c r="K75" s="14">
        <v>1</v>
      </c>
      <c r="L75" s="12">
        <v>0</v>
      </c>
      <c r="M75" s="12">
        <v>1</v>
      </c>
      <c r="N75" s="12">
        <v>1</v>
      </c>
      <c r="O75" s="12">
        <v>1</v>
      </c>
      <c r="P75" s="12">
        <v>1</v>
      </c>
      <c r="Q75" s="7">
        <v>8</v>
      </c>
    </row>
    <row r="76" spans="1:17" x14ac:dyDescent="0.3">
      <c r="A76" s="12" t="s">
        <v>1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1</v>
      </c>
      <c r="P76" s="12">
        <v>1</v>
      </c>
      <c r="Q76" s="7">
        <v>2</v>
      </c>
    </row>
    <row r="77" spans="1:17" x14ac:dyDescent="0.3">
      <c r="A77" s="12" t="s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1</v>
      </c>
      <c r="Q77" s="7">
        <v>1</v>
      </c>
    </row>
    <row r="78" spans="1:17" x14ac:dyDescent="0.3">
      <c r="A78" s="7" t="s">
        <v>18</v>
      </c>
      <c r="B78" s="7">
        <v>1</v>
      </c>
      <c r="C78" s="7">
        <v>3</v>
      </c>
      <c r="D78" s="7">
        <v>3</v>
      </c>
      <c r="E78" s="7">
        <v>8</v>
      </c>
      <c r="F78" s="7">
        <v>2</v>
      </c>
      <c r="G78" s="7">
        <v>10</v>
      </c>
      <c r="H78" s="7">
        <v>6</v>
      </c>
      <c r="I78" s="7">
        <v>3</v>
      </c>
      <c r="J78" s="7">
        <v>11</v>
      </c>
      <c r="K78" s="7">
        <v>12</v>
      </c>
      <c r="L78" s="7">
        <v>9</v>
      </c>
      <c r="M78" s="7">
        <v>13</v>
      </c>
      <c r="N78" s="7">
        <v>13</v>
      </c>
      <c r="O78" s="7">
        <v>14</v>
      </c>
      <c r="P78" s="7">
        <v>15</v>
      </c>
      <c r="Q78" s="7"/>
    </row>
    <row r="80" spans="1:17" x14ac:dyDescent="0.3">
      <c r="F80" s="21" t="s">
        <v>27</v>
      </c>
      <c r="G80" s="21"/>
      <c r="H80" s="21"/>
    </row>
    <row r="119" spans="1:5" ht="17.399999999999999" x14ac:dyDescent="0.3">
      <c r="A119" s="5" t="s">
        <v>28</v>
      </c>
      <c r="B119" s="4"/>
      <c r="C119" s="4"/>
      <c r="D119" s="4"/>
      <c r="E119" s="4"/>
    </row>
    <row r="120" spans="1:5" ht="55.2" x14ac:dyDescent="0.3">
      <c r="A120" s="6" t="s">
        <v>29</v>
      </c>
      <c r="B120" s="6" t="s">
        <v>30</v>
      </c>
      <c r="C120" s="6" t="s">
        <v>31</v>
      </c>
      <c r="D120" s="6" t="s">
        <v>32</v>
      </c>
      <c r="E120" s="6" t="s">
        <v>33</v>
      </c>
    </row>
    <row r="121" spans="1:5" x14ac:dyDescent="0.3">
      <c r="A121" s="7">
        <v>1</v>
      </c>
      <c r="B121" s="7" t="s">
        <v>34</v>
      </c>
      <c r="C121" s="7" t="s">
        <v>34</v>
      </c>
      <c r="D121" s="7" t="s">
        <v>34</v>
      </c>
      <c r="E121" s="7">
        <v>6</v>
      </c>
    </row>
    <row r="122" spans="1:5" x14ac:dyDescent="0.3">
      <c r="A122" s="7">
        <v>2</v>
      </c>
      <c r="B122" s="7" t="s">
        <v>35</v>
      </c>
      <c r="C122" s="7" t="s">
        <v>36</v>
      </c>
      <c r="D122" s="7" t="s">
        <v>35</v>
      </c>
      <c r="E122" s="7">
        <v>4</v>
      </c>
    </row>
    <row r="123" spans="1:5" x14ac:dyDescent="0.3">
      <c r="A123" s="7">
        <v>3</v>
      </c>
      <c r="B123" s="7" t="s">
        <v>37</v>
      </c>
      <c r="C123" s="7" t="s">
        <v>38</v>
      </c>
      <c r="D123" s="7" t="s">
        <v>37</v>
      </c>
      <c r="E123" s="7">
        <v>4</v>
      </c>
    </row>
    <row r="124" spans="1:5" ht="55.2" x14ac:dyDescent="0.3">
      <c r="A124" s="7">
        <v>4</v>
      </c>
      <c r="B124" s="7" t="s">
        <v>39</v>
      </c>
      <c r="C124" s="7" t="s">
        <v>40</v>
      </c>
      <c r="D124" s="7" t="s">
        <v>39</v>
      </c>
      <c r="E124" s="7">
        <v>3</v>
      </c>
    </row>
    <row r="125" spans="1:5" x14ac:dyDescent="0.3">
      <c r="A125" s="7">
        <v>5</v>
      </c>
      <c r="B125" s="7" t="s">
        <v>41</v>
      </c>
      <c r="C125" s="7" t="s">
        <v>42</v>
      </c>
      <c r="D125" s="7" t="s">
        <v>41</v>
      </c>
      <c r="E125" s="7">
        <v>5</v>
      </c>
    </row>
    <row r="126" spans="1:5" ht="55.2" x14ac:dyDescent="0.3">
      <c r="A126" s="7">
        <v>6</v>
      </c>
      <c r="B126" s="7" t="s">
        <v>39</v>
      </c>
      <c r="C126" s="7" t="s">
        <v>40</v>
      </c>
      <c r="D126" s="7" t="s">
        <v>39</v>
      </c>
      <c r="E126" s="7">
        <v>3</v>
      </c>
    </row>
    <row r="127" spans="1:5" ht="55.2" x14ac:dyDescent="0.3">
      <c r="A127" s="7">
        <v>7</v>
      </c>
      <c r="B127" s="7" t="s">
        <v>39</v>
      </c>
      <c r="C127" s="7" t="s">
        <v>40</v>
      </c>
      <c r="D127" s="7" t="s">
        <v>39</v>
      </c>
      <c r="E127" s="7">
        <v>3</v>
      </c>
    </row>
    <row r="128" spans="1:5" x14ac:dyDescent="0.3">
      <c r="A128" s="7">
        <v>8</v>
      </c>
      <c r="B128" s="7" t="s">
        <v>43</v>
      </c>
      <c r="C128" s="7" t="s">
        <v>44</v>
      </c>
      <c r="D128" s="7" t="s">
        <v>43</v>
      </c>
      <c r="E128" s="7">
        <v>4</v>
      </c>
    </row>
    <row r="129" spans="1:6" ht="55.2" x14ac:dyDescent="0.3">
      <c r="A129" s="7">
        <v>9</v>
      </c>
      <c r="B129" s="7" t="s">
        <v>39</v>
      </c>
      <c r="C129" s="7" t="s">
        <v>40</v>
      </c>
      <c r="D129" s="7" t="s">
        <v>39</v>
      </c>
      <c r="E129" s="7">
        <v>3</v>
      </c>
    </row>
    <row r="130" spans="1:6" ht="55.2" x14ac:dyDescent="0.3">
      <c r="A130" s="7">
        <v>10</v>
      </c>
      <c r="B130" s="7" t="s">
        <v>39</v>
      </c>
      <c r="C130" s="7" t="s">
        <v>40</v>
      </c>
      <c r="D130" s="7" t="s">
        <v>39</v>
      </c>
      <c r="E130" s="7">
        <v>3</v>
      </c>
    </row>
    <row r="131" spans="1:6" ht="55.2" x14ac:dyDescent="0.3">
      <c r="A131" s="7">
        <v>11</v>
      </c>
      <c r="B131" s="7" t="s">
        <v>39</v>
      </c>
      <c r="C131" s="7" t="s">
        <v>40</v>
      </c>
      <c r="D131" s="7" t="s">
        <v>39</v>
      </c>
      <c r="E131" s="7">
        <v>3</v>
      </c>
    </row>
    <row r="132" spans="1:6" ht="55.2" x14ac:dyDescent="0.3">
      <c r="A132" s="7">
        <v>12</v>
      </c>
      <c r="B132" s="7" t="s">
        <v>39</v>
      </c>
      <c r="C132" s="7" t="s">
        <v>40</v>
      </c>
      <c r="D132" s="7" t="s">
        <v>39</v>
      </c>
      <c r="E132" s="7">
        <v>3</v>
      </c>
    </row>
    <row r="133" spans="1:6" ht="55.2" x14ac:dyDescent="0.3">
      <c r="A133" s="7">
        <v>13</v>
      </c>
      <c r="B133" s="7" t="s">
        <v>39</v>
      </c>
      <c r="C133" s="7" t="s">
        <v>40</v>
      </c>
      <c r="D133" s="7" t="s">
        <v>39</v>
      </c>
      <c r="E133" s="7">
        <v>3</v>
      </c>
    </row>
    <row r="134" spans="1:6" ht="69" x14ac:dyDescent="0.3">
      <c r="A134" s="7">
        <v>14</v>
      </c>
      <c r="B134" s="7" t="s">
        <v>45</v>
      </c>
      <c r="C134" s="7" t="s">
        <v>46</v>
      </c>
      <c r="D134" s="7" t="s">
        <v>45</v>
      </c>
      <c r="E134" s="7">
        <v>2</v>
      </c>
    </row>
    <row r="135" spans="1:6" ht="69" x14ac:dyDescent="0.3">
      <c r="A135" s="7">
        <v>15</v>
      </c>
      <c r="B135" s="7" t="s">
        <v>47</v>
      </c>
      <c r="C135" s="7" t="s">
        <v>48</v>
      </c>
      <c r="D135" s="7" t="s">
        <v>47</v>
      </c>
      <c r="E135" s="7">
        <v>1</v>
      </c>
    </row>
    <row r="139" spans="1:6" ht="17.399999999999999" x14ac:dyDescent="0.3">
      <c r="A139" s="5" t="s">
        <v>49</v>
      </c>
      <c r="B139" s="4"/>
      <c r="C139" s="4"/>
      <c r="D139" s="4"/>
      <c r="E139" s="4"/>
      <c r="F139" s="4"/>
    </row>
    <row r="140" spans="1:6" ht="55.2" x14ac:dyDescent="0.3">
      <c r="A140" s="23" t="s">
        <v>29</v>
      </c>
      <c r="B140" s="23"/>
      <c r="C140" s="6" t="s">
        <v>30</v>
      </c>
      <c r="D140" s="6" t="s">
        <v>31</v>
      </c>
      <c r="E140" s="6" t="s">
        <v>32</v>
      </c>
      <c r="F140" s="6" t="s">
        <v>33</v>
      </c>
    </row>
    <row r="141" spans="1:6" ht="69" x14ac:dyDescent="0.3">
      <c r="A141" s="22">
        <v>1</v>
      </c>
      <c r="B141" s="22"/>
      <c r="C141" s="7" t="s">
        <v>48</v>
      </c>
      <c r="D141" s="7" t="s">
        <v>34</v>
      </c>
      <c r="E141" s="7" t="s">
        <v>34</v>
      </c>
      <c r="F141" s="7"/>
    </row>
    <row r="142" spans="1:6" ht="55.2" x14ac:dyDescent="0.3">
      <c r="A142" s="22">
        <v>2</v>
      </c>
      <c r="B142" s="22"/>
      <c r="C142" s="7" t="s">
        <v>50</v>
      </c>
      <c r="D142" s="7" t="s">
        <v>36</v>
      </c>
      <c r="E142" s="7" t="s">
        <v>35</v>
      </c>
      <c r="F142" s="7"/>
    </row>
    <row r="143" spans="1:6" ht="55.2" x14ac:dyDescent="0.3">
      <c r="A143" s="22">
        <v>3</v>
      </c>
      <c r="B143" s="22"/>
      <c r="C143" s="7" t="s">
        <v>51</v>
      </c>
      <c r="D143" s="7" t="s">
        <v>38</v>
      </c>
      <c r="E143" s="7" t="s">
        <v>37</v>
      </c>
      <c r="F143" s="7"/>
    </row>
    <row r="144" spans="1:6" ht="55.2" x14ac:dyDescent="0.3">
      <c r="A144" s="22">
        <v>4</v>
      </c>
      <c r="B144" s="22"/>
      <c r="C144" s="7" t="s">
        <v>52</v>
      </c>
      <c r="D144" s="7" t="s">
        <v>40</v>
      </c>
      <c r="E144" s="7" t="s">
        <v>39</v>
      </c>
      <c r="F144" s="7"/>
    </row>
    <row r="145" spans="1:18" ht="69" x14ac:dyDescent="0.3">
      <c r="A145" s="22">
        <v>5</v>
      </c>
      <c r="B145" s="22"/>
      <c r="C145" s="7" t="s">
        <v>53</v>
      </c>
      <c r="D145" s="7" t="s">
        <v>42</v>
      </c>
      <c r="E145" s="7" t="s">
        <v>41</v>
      </c>
      <c r="F145" s="7"/>
    </row>
    <row r="146" spans="1:18" ht="55.2" x14ac:dyDescent="0.3">
      <c r="A146" s="22">
        <v>6</v>
      </c>
      <c r="B146" s="22"/>
      <c r="C146" s="7" t="s">
        <v>52</v>
      </c>
      <c r="D146" s="7" t="s">
        <v>40</v>
      </c>
      <c r="E146" s="7" t="s">
        <v>39</v>
      </c>
      <c r="F146" s="7"/>
    </row>
    <row r="147" spans="1:18" ht="55.2" x14ac:dyDescent="0.3">
      <c r="A147" s="22">
        <v>7</v>
      </c>
      <c r="B147" s="22"/>
      <c r="C147" s="7" t="s">
        <v>52</v>
      </c>
      <c r="D147" s="7" t="s">
        <v>40</v>
      </c>
      <c r="E147" s="7" t="s">
        <v>39</v>
      </c>
      <c r="F147" s="7"/>
    </row>
    <row r="148" spans="1:18" ht="55.2" x14ac:dyDescent="0.3">
      <c r="A148" s="22">
        <v>8</v>
      </c>
      <c r="B148" s="22"/>
      <c r="C148" s="7" t="s">
        <v>54</v>
      </c>
      <c r="D148" s="7" t="s">
        <v>44</v>
      </c>
      <c r="E148" s="7" t="s">
        <v>43</v>
      </c>
      <c r="F148" s="7"/>
    </row>
    <row r="149" spans="1:18" ht="55.2" x14ac:dyDescent="0.3">
      <c r="A149" s="22">
        <v>9</v>
      </c>
      <c r="B149" s="22"/>
      <c r="C149" s="7" t="s">
        <v>52</v>
      </c>
      <c r="D149" s="7" t="s">
        <v>40</v>
      </c>
      <c r="E149" s="7" t="s">
        <v>39</v>
      </c>
      <c r="F149" s="7"/>
    </row>
    <row r="150" spans="1:18" ht="55.2" x14ac:dyDescent="0.3">
      <c r="A150" s="22">
        <v>10</v>
      </c>
      <c r="B150" s="22"/>
      <c r="C150" s="7" t="s">
        <v>52</v>
      </c>
      <c r="D150" s="7" t="s">
        <v>40</v>
      </c>
      <c r="E150" s="7" t="s">
        <v>39</v>
      </c>
      <c r="F150" s="7"/>
    </row>
    <row r="151" spans="1:18" ht="55.2" x14ac:dyDescent="0.3">
      <c r="A151" s="22">
        <v>11</v>
      </c>
      <c r="B151" s="22"/>
      <c r="C151" s="7" t="s">
        <v>52</v>
      </c>
      <c r="D151" s="7" t="s">
        <v>40</v>
      </c>
      <c r="E151" s="7" t="s">
        <v>39</v>
      </c>
      <c r="F151" s="7"/>
    </row>
    <row r="152" spans="1:18" ht="55.2" x14ac:dyDescent="0.3">
      <c r="A152" s="22">
        <v>12</v>
      </c>
      <c r="B152" s="22"/>
      <c r="C152" s="7" t="s">
        <v>52</v>
      </c>
      <c r="D152" s="7" t="s">
        <v>40</v>
      </c>
      <c r="E152" s="7" t="s">
        <v>39</v>
      </c>
      <c r="F152" s="7"/>
    </row>
    <row r="153" spans="1:18" ht="55.2" x14ac:dyDescent="0.3">
      <c r="A153" s="22">
        <v>13</v>
      </c>
      <c r="B153" s="22"/>
      <c r="C153" s="7" t="s">
        <v>52</v>
      </c>
      <c r="D153" s="7" t="s">
        <v>40</v>
      </c>
      <c r="E153" s="7" t="s">
        <v>39</v>
      </c>
      <c r="F153" s="7"/>
    </row>
    <row r="154" spans="1:18" ht="69" x14ac:dyDescent="0.3">
      <c r="A154" s="22">
        <v>14</v>
      </c>
      <c r="B154" s="22"/>
      <c r="C154" s="7" t="s">
        <v>55</v>
      </c>
      <c r="D154" s="7" t="s">
        <v>46</v>
      </c>
      <c r="E154" s="7" t="s">
        <v>45</v>
      </c>
      <c r="F154" s="7"/>
    </row>
    <row r="155" spans="1:18" ht="69" x14ac:dyDescent="0.3">
      <c r="A155" s="22">
        <v>15</v>
      </c>
      <c r="B155" s="22"/>
      <c r="C155" s="7" t="s">
        <v>47</v>
      </c>
      <c r="D155" s="7" t="s">
        <v>48</v>
      </c>
      <c r="E155" s="7" t="s">
        <v>47</v>
      </c>
      <c r="F155" s="7">
        <v>1</v>
      </c>
    </row>
    <row r="156" spans="1:18" x14ac:dyDescent="0.3">
      <c r="A156" s="8">
        <v>1</v>
      </c>
      <c r="B156" s="9">
        <v>2</v>
      </c>
      <c r="C156" s="9">
        <v>3</v>
      </c>
      <c r="D156" s="9">
        <v>4</v>
      </c>
      <c r="E156" s="9">
        <v>5</v>
      </c>
      <c r="F156" s="9">
        <v>6</v>
      </c>
    </row>
    <row r="160" spans="1:18" ht="17.399999999999999" x14ac:dyDescent="0.3">
      <c r="A160" s="5" t="s">
        <v>56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 ht="27.6" x14ac:dyDescent="0.3">
      <c r="A161" s="6" t="s">
        <v>16</v>
      </c>
      <c r="B161" s="6">
        <v>15</v>
      </c>
      <c r="C161" s="6">
        <v>14</v>
      </c>
      <c r="D161" s="6">
        <v>4</v>
      </c>
      <c r="E161" s="6">
        <v>6</v>
      </c>
      <c r="F161" s="6">
        <v>7</v>
      </c>
      <c r="G161" s="6">
        <v>9</v>
      </c>
      <c r="H161" s="6">
        <v>10</v>
      </c>
      <c r="I161" s="6">
        <v>11</v>
      </c>
      <c r="J161" s="6">
        <v>12</v>
      </c>
      <c r="K161" s="6">
        <v>13</v>
      </c>
      <c r="L161" s="6">
        <v>2</v>
      </c>
      <c r="M161" s="6">
        <v>3</v>
      </c>
      <c r="N161" s="6">
        <v>8</v>
      </c>
      <c r="O161" s="6">
        <v>5</v>
      </c>
      <c r="P161" s="6">
        <v>1</v>
      </c>
      <c r="Q161" s="6" t="s">
        <v>17</v>
      </c>
      <c r="R161" s="6" t="s">
        <v>33</v>
      </c>
    </row>
    <row r="162" spans="1:18" x14ac:dyDescent="0.3">
      <c r="A162" s="7">
        <v>15</v>
      </c>
      <c r="B162" s="7">
        <v>1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1</v>
      </c>
      <c r="R162" s="7">
        <v>1</v>
      </c>
    </row>
    <row r="163" spans="1:18" x14ac:dyDescent="0.3">
      <c r="A163" s="7">
        <v>14</v>
      </c>
      <c r="B163" s="7">
        <v>1</v>
      </c>
      <c r="C163" s="7">
        <v>1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2</v>
      </c>
      <c r="R163" s="7">
        <v>2</v>
      </c>
    </row>
    <row r="164" spans="1:18" x14ac:dyDescent="0.3">
      <c r="A164" s="7">
        <v>4</v>
      </c>
      <c r="B164" s="7">
        <v>1</v>
      </c>
      <c r="C164" s="7">
        <v>1</v>
      </c>
      <c r="D164" s="7">
        <v>1</v>
      </c>
      <c r="E164" s="7">
        <v>1</v>
      </c>
      <c r="F164" s="7" t="s">
        <v>26</v>
      </c>
      <c r="G164" s="7" t="s">
        <v>26</v>
      </c>
      <c r="H164" s="7">
        <v>1</v>
      </c>
      <c r="I164" s="7">
        <v>1</v>
      </c>
      <c r="J164" s="7">
        <v>1</v>
      </c>
      <c r="K164" s="7">
        <v>1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10</v>
      </c>
      <c r="R164" s="7">
        <v>3</v>
      </c>
    </row>
    <row r="165" spans="1:18" x14ac:dyDescent="0.3">
      <c r="A165" s="7">
        <v>6</v>
      </c>
      <c r="B165" s="7">
        <v>1</v>
      </c>
      <c r="C165" s="7">
        <v>1</v>
      </c>
      <c r="D165" s="7">
        <v>1</v>
      </c>
      <c r="E165" s="7">
        <v>1</v>
      </c>
      <c r="F165" s="7" t="s">
        <v>26</v>
      </c>
      <c r="G165" s="7">
        <v>1</v>
      </c>
      <c r="H165" s="7">
        <v>1</v>
      </c>
      <c r="I165" s="7">
        <v>1</v>
      </c>
      <c r="J165" s="7">
        <v>1</v>
      </c>
      <c r="K165" s="7">
        <v>1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10</v>
      </c>
      <c r="R165" s="7">
        <v>3</v>
      </c>
    </row>
    <row r="166" spans="1:18" x14ac:dyDescent="0.3">
      <c r="A166" s="7">
        <v>7</v>
      </c>
      <c r="B166" s="7">
        <v>1</v>
      </c>
      <c r="C166" s="7">
        <v>1</v>
      </c>
      <c r="D166" s="7">
        <v>1</v>
      </c>
      <c r="E166" s="7">
        <v>1</v>
      </c>
      <c r="F166" s="7">
        <v>1</v>
      </c>
      <c r="G166" s="7">
        <v>1</v>
      </c>
      <c r="H166" s="7">
        <v>1</v>
      </c>
      <c r="I166" s="7">
        <v>1</v>
      </c>
      <c r="J166" s="7">
        <v>1</v>
      </c>
      <c r="K166" s="7">
        <v>1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10</v>
      </c>
      <c r="R166" s="7">
        <v>3</v>
      </c>
    </row>
    <row r="167" spans="1:18" x14ac:dyDescent="0.3">
      <c r="A167" s="7">
        <v>9</v>
      </c>
      <c r="B167" s="7">
        <v>1</v>
      </c>
      <c r="C167" s="7">
        <v>1</v>
      </c>
      <c r="D167" s="7">
        <v>1</v>
      </c>
      <c r="E167" s="7" t="s">
        <v>26</v>
      </c>
      <c r="F167" s="7" t="s">
        <v>26</v>
      </c>
      <c r="G167" s="7">
        <v>1</v>
      </c>
      <c r="H167" s="7">
        <v>1</v>
      </c>
      <c r="I167" s="7" t="s">
        <v>26</v>
      </c>
      <c r="J167" s="7">
        <v>1</v>
      </c>
      <c r="K167" s="7">
        <v>1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10</v>
      </c>
      <c r="R167" s="7">
        <v>3</v>
      </c>
    </row>
    <row r="168" spans="1:18" x14ac:dyDescent="0.3">
      <c r="A168" s="7">
        <v>10</v>
      </c>
      <c r="B168" s="7">
        <v>1</v>
      </c>
      <c r="C168" s="7">
        <v>1</v>
      </c>
      <c r="D168" s="7" t="s">
        <v>26</v>
      </c>
      <c r="E168" s="7">
        <v>1</v>
      </c>
      <c r="F168" s="7" t="s">
        <v>26</v>
      </c>
      <c r="G168" s="7" t="s">
        <v>26</v>
      </c>
      <c r="H168" s="7">
        <v>1</v>
      </c>
      <c r="I168" s="7">
        <v>1</v>
      </c>
      <c r="J168" s="7">
        <v>1</v>
      </c>
      <c r="K168" s="7">
        <v>1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10</v>
      </c>
      <c r="R168" s="7">
        <v>3</v>
      </c>
    </row>
    <row r="169" spans="1:18" x14ac:dyDescent="0.3">
      <c r="A169" s="7">
        <v>11</v>
      </c>
      <c r="B169" s="7">
        <v>1</v>
      </c>
      <c r="C169" s="7">
        <v>1</v>
      </c>
      <c r="D169" s="7" t="s">
        <v>26</v>
      </c>
      <c r="E169" s="7">
        <v>1</v>
      </c>
      <c r="F169" s="7">
        <v>1</v>
      </c>
      <c r="G169" s="7">
        <v>1</v>
      </c>
      <c r="H169" s="7">
        <v>1</v>
      </c>
      <c r="I169" s="7">
        <v>1</v>
      </c>
      <c r="J169" s="7">
        <v>1</v>
      </c>
      <c r="K169" s="7">
        <v>1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10</v>
      </c>
      <c r="R169" s="7">
        <v>3</v>
      </c>
    </row>
    <row r="170" spans="1:18" x14ac:dyDescent="0.3">
      <c r="A170" s="7">
        <v>12</v>
      </c>
      <c r="B170" s="7">
        <v>1</v>
      </c>
      <c r="C170" s="7">
        <v>1</v>
      </c>
      <c r="D170" s="7" t="s">
        <v>26</v>
      </c>
      <c r="E170" s="7">
        <v>1</v>
      </c>
      <c r="F170" s="7">
        <v>1</v>
      </c>
      <c r="G170" s="7">
        <v>1</v>
      </c>
      <c r="H170" s="7">
        <v>1</v>
      </c>
      <c r="I170" s="7">
        <v>1</v>
      </c>
      <c r="J170" s="7">
        <v>1</v>
      </c>
      <c r="K170" s="7">
        <v>1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10</v>
      </c>
      <c r="R170" s="7">
        <v>3</v>
      </c>
    </row>
    <row r="171" spans="1:18" x14ac:dyDescent="0.3">
      <c r="A171" s="7">
        <v>13</v>
      </c>
      <c r="B171" s="7">
        <v>1</v>
      </c>
      <c r="C171" s="7">
        <v>1</v>
      </c>
      <c r="D171" s="7" t="s">
        <v>26</v>
      </c>
      <c r="E171" s="7">
        <v>1</v>
      </c>
      <c r="F171" s="7">
        <v>1</v>
      </c>
      <c r="G171" s="7">
        <v>1</v>
      </c>
      <c r="H171" s="7">
        <v>1</v>
      </c>
      <c r="I171" s="7" t="s">
        <v>26</v>
      </c>
      <c r="J171" s="7">
        <v>1</v>
      </c>
      <c r="K171" s="7">
        <v>1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10</v>
      </c>
      <c r="R171" s="7">
        <v>3</v>
      </c>
    </row>
    <row r="172" spans="1:18" x14ac:dyDescent="0.3">
      <c r="A172" s="7">
        <v>2</v>
      </c>
      <c r="B172" s="7">
        <v>1</v>
      </c>
      <c r="C172" s="7">
        <v>1</v>
      </c>
      <c r="D172" s="7" t="s">
        <v>26</v>
      </c>
      <c r="E172" s="7" t="s">
        <v>26</v>
      </c>
      <c r="F172" s="7">
        <v>1</v>
      </c>
      <c r="G172" s="7">
        <v>1</v>
      </c>
      <c r="H172" s="7" t="s">
        <v>26</v>
      </c>
      <c r="I172" s="7" t="s">
        <v>26</v>
      </c>
      <c r="J172" s="7">
        <v>1</v>
      </c>
      <c r="K172" s="7">
        <v>1</v>
      </c>
      <c r="L172" s="7">
        <v>1</v>
      </c>
      <c r="M172" s="7">
        <v>0</v>
      </c>
      <c r="N172" s="7">
        <v>0</v>
      </c>
      <c r="O172" s="7">
        <v>0</v>
      </c>
      <c r="P172" s="7">
        <v>0</v>
      </c>
      <c r="Q172" s="7">
        <v>11</v>
      </c>
      <c r="R172" s="7">
        <v>4</v>
      </c>
    </row>
    <row r="173" spans="1:18" x14ac:dyDescent="0.3">
      <c r="A173" s="7">
        <v>3</v>
      </c>
      <c r="B173" s="7">
        <v>1</v>
      </c>
      <c r="C173" s="7">
        <v>1</v>
      </c>
      <c r="D173" s="7">
        <v>1</v>
      </c>
      <c r="E173" s="7">
        <v>1</v>
      </c>
      <c r="F173" s="7" t="s">
        <v>26</v>
      </c>
      <c r="G173" s="7">
        <v>1</v>
      </c>
      <c r="H173" s="7">
        <v>1</v>
      </c>
      <c r="I173" s="7">
        <v>1</v>
      </c>
      <c r="J173" s="7">
        <v>1</v>
      </c>
      <c r="K173" s="7">
        <v>1</v>
      </c>
      <c r="L173" s="7">
        <v>0</v>
      </c>
      <c r="M173" s="7">
        <v>1</v>
      </c>
      <c r="N173" s="7">
        <v>0</v>
      </c>
      <c r="O173" s="7">
        <v>0</v>
      </c>
      <c r="P173" s="7">
        <v>0</v>
      </c>
      <c r="Q173" s="7">
        <v>11</v>
      </c>
      <c r="R173" s="7">
        <v>4</v>
      </c>
    </row>
    <row r="174" spans="1:18" x14ac:dyDescent="0.3">
      <c r="A174" s="7">
        <v>8</v>
      </c>
      <c r="B174" s="7">
        <v>1</v>
      </c>
      <c r="C174" s="7">
        <v>1</v>
      </c>
      <c r="D174" s="7">
        <v>1</v>
      </c>
      <c r="E174" s="7" t="s">
        <v>26</v>
      </c>
      <c r="F174" s="7" t="s">
        <v>26</v>
      </c>
      <c r="G174" s="7">
        <v>1</v>
      </c>
      <c r="H174" s="7">
        <v>1</v>
      </c>
      <c r="I174" s="7" t="s">
        <v>26</v>
      </c>
      <c r="J174" s="7">
        <v>1</v>
      </c>
      <c r="K174" s="7">
        <v>1</v>
      </c>
      <c r="L174" s="7">
        <v>0</v>
      </c>
      <c r="M174" s="7">
        <v>0</v>
      </c>
      <c r="N174" s="7">
        <v>1</v>
      </c>
      <c r="O174" s="7">
        <v>0</v>
      </c>
      <c r="P174" s="7">
        <v>0</v>
      </c>
      <c r="Q174" s="7">
        <v>11</v>
      </c>
      <c r="R174" s="7">
        <v>4</v>
      </c>
    </row>
    <row r="175" spans="1:18" x14ac:dyDescent="0.3">
      <c r="A175" s="7">
        <v>5</v>
      </c>
      <c r="B175" s="7">
        <v>1</v>
      </c>
      <c r="C175" s="7">
        <v>1</v>
      </c>
      <c r="D175" s="7">
        <v>1</v>
      </c>
      <c r="E175" s="7">
        <v>1</v>
      </c>
      <c r="F175" s="7" t="s">
        <v>26</v>
      </c>
      <c r="G175" s="7">
        <v>1</v>
      </c>
      <c r="H175" s="7">
        <v>1</v>
      </c>
      <c r="I175" s="7">
        <v>1</v>
      </c>
      <c r="J175" s="7">
        <v>1</v>
      </c>
      <c r="K175" s="7">
        <v>1</v>
      </c>
      <c r="L175" s="7">
        <v>1</v>
      </c>
      <c r="M175" s="7">
        <v>1</v>
      </c>
      <c r="N175" s="7">
        <v>1</v>
      </c>
      <c r="O175" s="7">
        <v>1</v>
      </c>
      <c r="P175" s="7">
        <v>0</v>
      </c>
      <c r="Q175" s="7">
        <v>14</v>
      </c>
      <c r="R175" s="7">
        <v>5</v>
      </c>
    </row>
    <row r="176" spans="1:18" x14ac:dyDescent="0.3">
      <c r="A176" s="7">
        <v>1</v>
      </c>
      <c r="B176" s="7">
        <v>1</v>
      </c>
      <c r="C176" s="7">
        <v>1</v>
      </c>
      <c r="D176" s="7">
        <v>1</v>
      </c>
      <c r="E176" s="7">
        <v>1</v>
      </c>
      <c r="F176" s="7">
        <v>1</v>
      </c>
      <c r="G176" s="7">
        <v>1</v>
      </c>
      <c r="H176" s="7">
        <v>1</v>
      </c>
      <c r="I176" s="7">
        <v>1</v>
      </c>
      <c r="J176" s="7">
        <v>1</v>
      </c>
      <c r="K176" s="7">
        <v>1</v>
      </c>
      <c r="L176" s="7">
        <v>1</v>
      </c>
      <c r="M176" s="7">
        <v>1</v>
      </c>
      <c r="N176" s="7">
        <v>1</v>
      </c>
      <c r="O176" s="7">
        <v>1</v>
      </c>
      <c r="P176" s="7">
        <v>1</v>
      </c>
      <c r="Q176" s="7">
        <v>15</v>
      </c>
      <c r="R176" s="7">
        <v>6</v>
      </c>
    </row>
    <row r="177" spans="1:18" x14ac:dyDescent="0.3">
      <c r="A177" s="7" t="s">
        <v>18</v>
      </c>
      <c r="B177" s="7">
        <v>15</v>
      </c>
      <c r="C177" s="7">
        <v>14</v>
      </c>
      <c r="D177" s="7">
        <v>13</v>
      </c>
      <c r="E177" s="7">
        <v>13</v>
      </c>
      <c r="F177" s="7">
        <v>13</v>
      </c>
      <c r="G177" s="7">
        <v>13</v>
      </c>
      <c r="H177" s="7">
        <v>13</v>
      </c>
      <c r="I177" s="7">
        <v>13</v>
      </c>
      <c r="J177" s="7">
        <v>13</v>
      </c>
      <c r="K177" s="7">
        <v>13</v>
      </c>
      <c r="L177" s="7">
        <v>3</v>
      </c>
      <c r="M177" s="7">
        <v>3</v>
      </c>
      <c r="N177" s="7">
        <v>3</v>
      </c>
      <c r="O177" s="7">
        <v>2</v>
      </c>
      <c r="P177" s="7">
        <v>1</v>
      </c>
      <c r="Q177" s="7"/>
      <c r="R177" s="7"/>
    </row>
    <row r="178" spans="1:18" x14ac:dyDescent="0.3">
      <c r="A178" s="7" t="s">
        <v>33</v>
      </c>
      <c r="B178" s="7">
        <v>1</v>
      </c>
      <c r="C178" s="7">
        <v>2</v>
      </c>
      <c r="D178" s="7">
        <v>3</v>
      </c>
      <c r="E178" s="7">
        <v>3</v>
      </c>
      <c r="F178" s="7">
        <v>3</v>
      </c>
      <c r="G178" s="7">
        <v>3</v>
      </c>
      <c r="H178" s="7">
        <v>3</v>
      </c>
      <c r="I178" s="7">
        <v>3</v>
      </c>
      <c r="J178" s="7">
        <v>3</v>
      </c>
      <c r="K178" s="7">
        <v>3</v>
      </c>
      <c r="L178" s="7">
        <v>4</v>
      </c>
      <c r="M178" s="7">
        <v>4</v>
      </c>
      <c r="N178" s="7">
        <v>4</v>
      </c>
      <c r="O178" s="7">
        <v>5</v>
      </c>
      <c r="P178" s="7">
        <v>6</v>
      </c>
      <c r="Q178" s="7"/>
      <c r="R178" s="7"/>
    </row>
    <row r="212" spans="1:18" ht="17.399999999999999" x14ac:dyDescent="0.3">
      <c r="A212" s="5" t="s">
        <v>57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 ht="27.6" x14ac:dyDescent="0.3">
      <c r="A213" s="6" t="s">
        <v>16</v>
      </c>
      <c r="B213" s="6">
        <v>15</v>
      </c>
      <c r="C213" s="6">
        <v>14</v>
      </c>
      <c r="D213" s="6">
        <v>4</v>
      </c>
      <c r="E213" s="6">
        <v>6</v>
      </c>
      <c r="F213" s="6">
        <v>7</v>
      </c>
      <c r="G213" s="6">
        <v>9</v>
      </c>
      <c r="H213" s="6">
        <v>10</v>
      </c>
      <c r="I213" s="6">
        <v>11</v>
      </c>
      <c r="J213" s="6">
        <v>12</v>
      </c>
      <c r="K213" s="6">
        <v>13</v>
      </c>
      <c r="L213" s="6">
        <v>2</v>
      </c>
      <c r="M213" s="6">
        <v>3</v>
      </c>
      <c r="N213" s="6">
        <v>8</v>
      </c>
      <c r="O213" s="6">
        <v>5</v>
      </c>
      <c r="P213" s="6">
        <v>1</v>
      </c>
      <c r="Q213" s="6" t="s">
        <v>17</v>
      </c>
      <c r="R213" s="6" t="s">
        <v>33</v>
      </c>
    </row>
    <row r="214" spans="1:18" x14ac:dyDescent="0.3">
      <c r="A214" s="7" t="s">
        <v>0</v>
      </c>
      <c r="B214" s="7">
        <v>1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1</v>
      </c>
      <c r="R214" s="7">
        <v>1</v>
      </c>
    </row>
    <row r="215" spans="1:18" x14ac:dyDescent="0.3">
      <c r="A215" s="7" t="s">
        <v>1</v>
      </c>
      <c r="B215" s="7">
        <v>1</v>
      </c>
      <c r="C215" s="7">
        <v>1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2</v>
      </c>
      <c r="R215" s="7">
        <v>2</v>
      </c>
    </row>
    <row r="216" spans="1:18" x14ac:dyDescent="0.3">
      <c r="A216" s="7" t="s">
        <v>11</v>
      </c>
      <c r="B216" s="7">
        <v>0</v>
      </c>
      <c r="C216" s="7">
        <v>1</v>
      </c>
      <c r="D216" s="7">
        <v>1</v>
      </c>
      <c r="E216" s="7">
        <v>1</v>
      </c>
      <c r="F216" s="7" t="s">
        <v>26</v>
      </c>
      <c r="G216" s="7" t="s">
        <v>26</v>
      </c>
      <c r="H216" s="7">
        <v>1</v>
      </c>
      <c r="I216" s="7">
        <v>1</v>
      </c>
      <c r="J216" s="7">
        <v>1</v>
      </c>
      <c r="K216" s="7">
        <v>1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10</v>
      </c>
      <c r="R216" s="7">
        <v>3</v>
      </c>
    </row>
    <row r="217" spans="1:18" x14ac:dyDescent="0.3">
      <c r="A217" s="7" t="s">
        <v>9</v>
      </c>
      <c r="B217" s="7">
        <v>0</v>
      </c>
      <c r="C217" s="7">
        <v>1</v>
      </c>
      <c r="D217" s="7">
        <v>1</v>
      </c>
      <c r="E217" s="7">
        <v>1</v>
      </c>
      <c r="F217" s="7" t="s">
        <v>26</v>
      </c>
      <c r="G217" s="7">
        <v>1</v>
      </c>
      <c r="H217" s="7">
        <v>1</v>
      </c>
      <c r="I217" s="7">
        <v>1</v>
      </c>
      <c r="J217" s="7">
        <v>1</v>
      </c>
      <c r="K217" s="7">
        <v>1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10</v>
      </c>
      <c r="R217" s="7">
        <v>3</v>
      </c>
    </row>
    <row r="218" spans="1:18" x14ac:dyDescent="0.3">
      <c r="A218" s="7" t="s">
        <v>8</v>
      </c>
      <c r="B218" s="7">
        <v>0</v>
      </c>
      <c r="C218" s="7">
        <v>1</v>
      </c>
      <c r="D218" s="7">
        <v>1</v>
      </c>
      <c r="E218" s="7">
        <v>1</v>
      </c>
      <c r="F218" s="7">
        <v>1</v>
      </c>
      <c r="G218" s="7">
        <v>1</v>
      </c>
      <c r="H218" s="7">
        <v>1</v>
      </c>
      <c r="I218" s="7">
        <v>1</v>
      </c>
      <c r="J218" s="7">
        <v>1</v>
      </c>
      <c r="K218" s="7">
        <v>1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10</v>
      </c>
      <c r="R218" s="7">
        <v>3</v>
      </c>
    </row>
    <row r="219" spans="1:18" x14ac:dyDescent="0.3">
      <c r="A219" s="7" t="s">
        <v>6</v>
      </c>
      <c r="B219" s="7">
        <v>0</v>
      </c>
      <c r="C219" s="7">
        <v>1</v>
      </c>
      <c r="D219" s="7">
        <v>1</v>
      </c>
      <c r="E219" s="7" t="s">
        <v>26</v>
      </c>
      <c r="F219" s="7" t="s">
        <v>26</v>
      </c>
      <c r="G219" s="7">
        <v>1</v>
      </c>
      <c r="H219" s="7">
        <v>1</v>
      </c>
      <c r="I219" s="7" t="s">
        <v>26</v>
      </c>
      <c r="J219" s="7">
        <v>1</v>
      </c>
      <c r="K219" s="7">
        <v>1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10</v>
      </c>
      <c r="R219" s="7">
        <v>3</v>
      </c>
    </row>
    <row r="220" spans="1:18" x14ac:dyDescent="0.3">
      <c r="A220" s="7" t="s">
        <v>5</v>
      </c>
      <c r="B220" s="7">
        <v>0</v>
      </c>
      <c r="C220" s="7">
        <v>1</v>
      </c>
      <c r="D220" s="7" t="s">
        <v>26</v>
      </c>
      <c r="E220" s="7">
        <v>1</v>
      </c>
      <c r="F220" s="7" t="s">
        <v>26</v>
      </c>
      <c r="G220" s="7" t="s">
        <v>26</v>
      </c>
      <c r="H220" s="7">
        <v>1</v>
      </c>
      <c r="I220" s="7">
        <v>1</v>
      </c>
      <c r="J220" s="7">
        <v>1</v>
      </c>
      <c r="K220" s="7">
        <v>1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10</v>
      </c>
      <c r="R220" s="7">
        <v>3</v>
      </c>
    </row>
    <row r="221" spans="1:18" x14ac:dyDescent="0.3">
      <c r="A221" s="7" t="s">
        <v>4</v>
      </c>
      <c r="B221" s="7">
        <v>0</v>
      </c>
      <c r="C221" s="7">
        <v>1</v>
      </c>
      <c r="D221" s="7" t="s">
        <v>26</v>
      </c>
      <c r="E221" s="7">
        <v>1</v>
      </c>
      <c r="F221" s="7">
        <v>1</v>
      </c>
      <c r="G221" s="7">
        <v>1</v>
      </c>
      <c r="H221" s="7">
        <v>1</v>
      </c>
      <c r="I221" s="7">
        <v>1</v>
      </c>
      <c r="J221" s="7">
        <v>1</v>
      </c>
      <c r="K221" s="7">
        <v>1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10</v>
      </c>
      <c r="R221" s="7">
        <v>3</v>
      </c>
    </row>
    <row r="222" spans="1:18" x14ac:dyDescent="0.3">
      <c r="A222" s="7" t="s">
        <v>3</v>
      </c>
      <c r="B222" s="7">
        <v>0</v>
      </c>
      <c r="C222" s="7">
        <v>1</v>
      </c>
      <c r="D222" s="7" t="s">
        <v>26</v>
      </c>
      <c r="E222" s="7">
        <v>1</v>
      </c>
      <c r="F222" s="7">
        <v>1</v>
      </c>
      <c r="G222" s="7">
        <v>1</v>
      </c>
      <c r="H222" s="7">
        <v>1</v>
      </c>
      <c r="I222" s="7">
        <v>1</v>
      </c>
      <c r="J222" s="7">
        <v>1</v>
      </c>
      <c r="K222" s="7">
        <v>1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10</v>
      </c>
      <c r="R222" s="7">
        <v>3</v>
      </c>
    </row>
    <row r="223" spans="1:18" x14ac:dyDescent="0.3">
      <c r="A223" s="7" t="s">
        <v>2</v>
      </c>
      <c r="B223" s="7">
        <v>0</v>
      </c>
      <c r="C223" s="7">
        <v>1</v>
      </c>
      <c r="D223" s="7" t="s">
        <v>26</v>
      </c>
      <c r="E223" s="7">
        <v>1</v>
      </c>
      <c r="F223" s="7">
        <v>1</v>
      </c>
      <c r="G223" s="7">
        <v>1</v>
      </c>
      <c r="H223" s="7">
        <v>1</v>
      </c>
      <c r="I223" s="7" t="s">
        <v>26</v>
      </c>
      <c r="J223" s="7">
        <v>1</v>
      </c>
      <c r="K223" s="7">
        <v>1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10</v>
      </c>
      <c r="R223" s="7">
        <v>3</v>
      </c>
    </row>
    <row r="224" spans="1:18" x14ac:dyDescent="0.3">
      <c r="A224" s="7" t="s">
        <v>13</v>
      </c>
      <c r="B224" s="7">
        <v>0</v>
      </c>
      <c r="C224" s="7">
        <v>0</v>
      </c>
      <c r="D224" s="7" t="s">
        <v>26</v>
      </c>
      <c r="E224" s="7" t="s">
        <v>26</v>
      </c>
      <c r="F224" s="7">
        <v>1</v>
      </c>
      <c r="G224" s="7">
        <v>1</v>
      </c>
      <c r="H224" s="7" t="s">
        <v>26</v>
      </c>
      <c r="I224" s="7" t="s">
        <v>26</v>
      </c>
      <c r="J224" s="7">
        <v>1</v>
      </c>
      <c r="K224" s="7">
        <v>1</v>
      </c>
      <c r="L224" s="7">
        <v>1</v>
      </c>
      <c r="M224" s="7">
        <v>0</v>
      </c>
      <c r="N224" s="7">
        <v>0</v>
      </c>
      <c r="O224" s="7">
        <v>0</v>
      </c>
      <c r="P224" s="7">
        <v>0</v>
      </c>
      <c r="Q224" s="7">
        <v>11</v>
      </c>
      <c r="R224" s="7">
        <v>4</v>
      </c>
    </row>
    <row r="225" spans="1:18" x14ac:dyDescent="0.3">
      <c r="A225" s="7" t="s">
        <v>12</v>
      </c>
      <c r="B225" s="7">
        <v>0</v>
      </c>
      <c r="C225" s="7">
        <v>0</v>
      </c>
      <c r="D225" s="7">
        <v>1</v>
      </c>
      <c r="E225" s="7">
        <v>1</v>
      </c>
      <c r="F225" s="7" t="s">
        <v>26</v>
      </c>
      <c r="G225" s="7">
        <v>1</v>
      </c>
      <c r="H225" s="7">
        <v>1</v>
      </c>
      <c r="I225" s="7">
        <v>1</v>
      </c>
      <c r="J225" s="7">
        <v>1</v>
      </c>
      <c r="K225" s="7">
        <v>1</v>
      </c>
      <c r="L225" s="7">
        <v>0</v>
      </c>
      <c r="M225" s="7">
        <v>1</v>
      </c>
      <c r="N225" s="7">
        <v>0</v>
      </c>
      <c r="O225" s="7">
        <v>0</v>
      </c>
      <c r="P225" s="7">
        <v>0</v>
      </c>
      <c r="Q225" s="7">
        <v>11</v>
      </c>
      <c r="R225" s="7">
        <v>4</v>
      </c>
    </row>
    <row r="226" spans="1:18" x14ac:dyDescent="0.3">
      <c r="A226" s="7" t="s">
        <v>7</v>
      </c>
      <c r="B226" s="7">
        <v>0</v>
      </c>
      <c r="C226" s="7">
        <v>0</v>
      </c>
      <c r="D226" s="7">
        <v>1</v>
      </c>
      <c r="E226" s="7" t="s">
        <v>26</v>
      </c>
      <c r="F226" s="7" t="s">
        <v>26</v>
      </c>
      <c r="G226" s="7">
        <v>1</v>
      </c>
      <c r="H226" s="7">
        <v>1</v>
      </c>
      <c r="I226" s="7" t="s">
        <v>26</v>
      </c>
      <c r="J226" s="7">
        <v>1</v>
      </c>
      <c r="K226" s="7">
        <v>1</v>
      </c>
      <c r="L226" s="7">
        <v>0</v>
      </c>
      <c r="M226" s="7">
        <v>0</v>
      </c>
      <c r="N226" s="7">
        <v>1</v>
      </c>
      <c r="O226" s="7">
        <v>0</v>
      </c>
      <c r="P226" s="7">
        <v>0</v>
      </c>
      <c r="Q226" s="7">
        <v>11</v>
      </c>
      <c r="R226" s="7">
        <v>4</v>
      </c>
    </row>
    <row r="227" spans="1:18" x14ac:dyDescent="0.3">
      <c r="A227" s="7" t="s">
        <v>10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1</v>
      </c>
      <c r="M227" s="7">
        <v>1</v>
      </c>
      <c r="N227" s="7">
        <v>1</v>
      </c>
      <c r="O227" s="7">
        <v>1</v>
      </c>
      <c r="P227" s="7">
        <v>0</v>
      </c>
      <c r="Q227" s="7">
        <v>14</v>
      </c>
      <c r="R227" s="7">
        <v>5</v>
      </c>
    </row>
    <row r="228" spans="1:18" x14ac:dyDescent="0.3">
      <c r="A228" s="7" t="s">
        <v>14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1</v>
      </c>
      <c r="P228" s="7">
        <v>1</v>
      </c>
      <c r="Q228" s="7">
        <v>15</v>
      </c>
      <c r="R228" s="7">
        <v>6</v>
      </c>
    </row>
    <row r="229" spans="1:18" x14ac:dyDescent="0.3">
      <c r="A229" s="7" t="s">
        <v>18</v>
      </c>
      <c r="B229" s="7">
        <v>15</v>
      </c>
      <c r="C229" s="7">
        <v>14</v>
      </c>
      <c r="D229" s="7">
        <v>13</v>
      </c>
      <c r="E229" s="7">
        <v>13</v>
      </c>
      <c r="F229" s="7">
        <v>13</v>
      </c>
      <c r="G229" s="7">
        <v>13</v>
      </c>
      <c r="H229" s="7">
        <v>13</v>
      </c>
      <c r="I229" s="7">
        <v>13</v>
      </c>
      <c r="J229" s="7">
        <v>13</v>
      </c>
      <c r="K229" s="7">
        <v>13</v>
      </c>
      <c r="L229" s="7">
        <v>3</v>
      </c>
      <c r="M229" s="7">
        <v>3</v>
      </c>
      <c r="N229" s="7">
        <v>3</v>
      </c>
      <c r="O229" s="7">
        <v>2</v>
      </c>
      <c r="P229" s="7">
        <v>1</v>
      </c>
      <c r="Q229" s="7"/>
      <c r="R229" s="7"/>
    </row>
    <row r="230" spans="1:18" x14ac:dyDescent="0.3">
      <c r="A230" s="7" t="s">
        <v>33</v>
      </c>
      <c r="B230" s="7">
        <v>1</v>
      </c>
      <c r="C230" s="7">
        <v>2</v>
      </c>
      <c r="D230" s="7">
        <v>3</v>
      </c>
      <c r="E230" s="7">
        <v>3</v>
      </c>
      <c r="F230" s="7">
        <v>3</v>
      </c>
      <c r="G230" s="7">
        <v>3</v>
      </c>
      <c r="H230" s="7">
        <v>3</v>
      </c>
      <c r="I230" s="7">
        <v>3</v>
      </c>
      <c r="J230" s="7">
        <v>3</v>
      </c>
      <c r="K230" s="7">
        <v>3</v>
      </c>
      <c r="L230" s="7">
        <v>4</v>
      </c>
      <c r="M230" s="7">
        <v>4</v>
      </c>
      <c r="N230" s="7">
        <v>4</v>
      </c>
      <c r="O230" s="7">
        <v>5</v>
      </c>
      <c r="P230" s="7">
        <v>6</v>
      </c>
      <c r="Q230" s="7"/>
      <c r="R230" s="7"/>
    </row>
  </sheetData>
  <mergeCells count="17">
    <mergeCell ref="A152:B152"/>
    <mergeCell ref="A153:B153"/>
    <mergeCell ref="A154:B154"/>
    <mergeCell ref="A155:B155"/>
    <mergeCell ref="A150:B150"/>
    <mergeCell ref="A151:B151"/>
    <mergeCell ref="F80:H80"/>
    <mergeCell ref="A146:B146"/>
    <mergeCell ref="A147:B147"/>
    <mergeCell ref="A148:B148"/>
    <mergeCell ref="A149:B149"/>
    <mergeCell ref="A140:B140"/>
    <mergeCell ref="A141:B141"/>
    <mergeCell ref="A142:B142"/>
    <mergeCell ref="A143:B143"/>
    <mergeCell ref="A144:B144"/>
    <mergeCell ref="A145:B145"/>
  </mergeCells>
  <hyperlinks>
    <hyperlink ref="B156" r:id="rId1" display="javascript:__doPostBack('ctl00$ContentPlaceHolder1$LPIG','Page$2')" xr:uid="{FE5C7C50-7A2B-4966-B329-AE4475C5DC0C}"/>
    <hyperlink ref="C156" r:id="rId2" display="javascript:__doPostBack('ctl00$ContentPlaceHolder1$LPIG','Page$3')" xr:uid="{7B9C4287-AE18-4BDF-9A2C-248489BF7AAE}"/>
    <hyperlink ref="D156" r:id="rId3" display="javascript:__doPostBack('ctl00$ContentPlaceHolder1$LPIG','Page$4')" xr:uid="{60FD9253-1115-443A-A9D3-F009870DACD4}"/>
    <hyperlink ref="E156" r:id="rId4" display="javascript:__doPostBack('ctl00$ContentPlaceHolder1$LPIG','Page$5')" xr:uid="{04A3CF74-7927-4A96-84A5-E5205C60F01E}"/>
    <hyperlink ref="F156" r:id="rId5" display="javascript:__doPostBack('ctl00$ContentPlaceHolder1$LPIG','Page$6')" xr:uid="{E72CFD9A-91B1-4D08-8C7B-E243F361F650}"/>
  </hyperlinks>
  <pageMargins left="0.7" right="0.7" top="0.75" bottom="0.75" header="0.3" footer="0.3"/>
  <pageSetup paperSize="9"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55686-676D-4907-96B0-0657736277CE}">
  <sheetPr codeName="Sheet4"/>
  <dimension ref="A1:P51"/>
  <sheetViews>
    <sheetView tabSelected="1" zoomScale="70" zoomScaleNormal="70" workbookViewId="0">
      <selection activeCell="V22" sqref="V22"/>
    </sheetView>
  </sheetViews>
  <sheetFormatPr defaultRowHeight="14.4" x14ac:dyDescent="0.3"/>
  <sheetData>
    <row r="1" spans="1:16" ht="27.6" x14ac:dyDescent="0.3">
      <c r="A1" s="6" t="s">
        <v>16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14</v>
      </c>
      <c r="P1" s="6">
        <v>15</v>
      </c>
    </row>
    <row r="2" spans="1:16" x14ac:dyDescent="0.3">
      <c r="A2" s="7" t="s">
        <v>14</v>
      </c>
      <c r="B2" s="7">
        <v>1</v>
      </c>
      <c r="C2" s="7">
        <v>1</v>
      </c>
      <c r="D2" s="7">
        <v>1</v>
      </c>
      <c r="E2" s="7">
        <v>1</v>
      </c>
      <c r="F2" s="7">
        <v>1</v>
      </c>
      <c r="G2" s="7">
        <v>1</v>
      </c>
      <c r="H2" s="7">
        <v>1</v>
      </c>
      <c r="I2" s="7">
        <v>1</v>
      </c>
      <c r="J2" s="7">
        <v>1</v>
      </c>
      <c r="K2" s="7">
        <v>1</v>
      </c>
      <c r="L2" s="7">
        <v>1</v>
      </c>
      <c r="M2" s="7">
        <v>1</v>
      </c>
      <c r="N2" s="7">
        <v>1</v>
      </c>
      <c r="O2" s="7">
        <v>1</v>
      </c>
      <c r="P2" s="7">
        <v>1</v>
      </c>
    </row>
    <row r="3" spans="1:16" x14ac:dyDescent="0.3">
      <c r="A3" s="7" t="s">
        <v>13</v>
      </c>
      <c r="B3" s="7">
        <v>0</v>
      </c>
      <c r="C3" s="7">
        <v>1</v>
      </c>
      <c r="D3" s="7">
        <v>0</v>
      </c>
      <c r="E3" s="7">
        <v>0</v>
      </c>
      <c r="F3" s="7">
        <v>0</v>
      </c>
      <c r="G3" s="7">
        <v>0</v>
      </c>
      <c r="H3" s="7">
        <v>1</v>
      </c>
      <c r="I3" s="7">
        <v>0</v>
      </c>
      <c r="J3" s="7">
        <v>1</v>
      </c>
      <c r="K3" s="7">
        <v>0</v>
      </c>
      <c r="L3" s="7">
        <v>0</v>
      </c>
      <c r="M3" s="7">
        <v>1</v>
      </c>
      <c r="N3" s="7">
        <v>1</v>
      </c>
      <c r="O3" s="7">
        <v>1</v>
      </c>
      <c r="P3" s="7">
        <v>1</v>
      </c>
    </row>
    <row r="4" spans="1:16" x14ac:dyDescent="0.3">
      <c r="A4" s="7" t="s">
        <v>12</v>
      </c>
      <c r="B4" s="7">
        <v>0</v>
      </c>
      <c r="C4" s="7">
        <v>0</v>
      </c>
      <c r="D4" s="7">
        <v>1</v>
      </c>
      <c r="E4" s="7">
        <v>1</v>
      </c>
      <c r="F4" s="7">
        <v>0</v>
      </c>
      <c r="G4" s="7">
        <v>1</v>
      </c>
      <c r="H4" s="7">
        <v>0</v>
      </c>
      <c r="I4" s="7">
        <v>0</v>
      </c>
      <c r="J4" s="7">
        <v>1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</row>
    <row r="5" spans="1:16" x14ac:dyDescent="0.3">
      <c r="A5" s="7" t="s">
        <v>11</v>
      </c>
      <c r="B5" s="7">
        <v>0</v>
      </c>
      <c r="C5" s="7">
        <v>0</v>
      </c>
      <c r="D5" s="7">
        <v>0</v>
      </c>
      <c r="E5" s="7">
        <v>1</v>
      </c>
      <c r="F5" s="7">
        <v>0</v>
      </c>
      <c r="G5" s="7">
        <v>1</v>
      </c>
      <c r="H5" s="7">
        <v>0</v>
      </c>
      <c r="I5" s="7">
        <v>0</v>
      </c>
      <c r="J5" s="7">
        <v>0</v>
      </c>
      <c r="K5" s="7">
        <v>1</v>
      </c>
      <c r="L5" s="7">
        <v>1</v>
      </c>
      <c r="M5" s="7">
        <v>1</v>
      </c>
      <c r="N5" s="7">
        <v>1</v>
      </c>
      <c r="O5" s="7">
        <v>1</v>
      </c>
      <c r="P5" s="7">
        <v>1</v>
      </c>
    </row>
    <row r="6" spans="1:16" x14ac:dyDescent="0.3">
      <c r="A6" s="7" t="s">
        <v>10</v>
      </c>
      <c r="B6" s="7">
        <v>0</v>
      </c>
      <c r="C6" s="7">
        <v>1</v>
      </c>
      <c r="D6" s="7">
        <v>1</v>
      </c>
      <c r="E6" s="7">
        <v>1</v>
      </c>
      <c r="F6" s="7">
        <v>1</v>
      </c>
      <c r="G6" s="7">
        <v>1</v>
      </c>
      <c r="H6" s="7">
        <v>0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7">
        <v>1</v>
      </c>
      <c r="O6" s="7">
        <v>1</v>
      </c>
      <c r="P6" s="7">
        <v>1</v>
      </c>
    </row>
    <row r="7" spans="1:16" x14ac:dyDescent="0.3">
      <c r="A7" s="7" t="s">
        <v>9</v>
      </c>
      <c r="B7" s="7">
        <v>0</v>
      </c>
      <c r="C7" s="7">
        <v>0</v>
      </c>
      <c r="D7" s="7">
        <v>0</v>
      </c>
      <c r="E7" s="7">
        <v>1</v>
      </c>
      <c r="F7" s="7">
        <v>0</v>
      </c>
      <c r="G7" s="7">
        <v>1</v>
      </c>
      <c r="H7" s="7">
        <v>0</v>
      </c>
      <c r="I7" s="7">
        <v>0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</row>
    <row r="8" spans="1:16" x14ac:dyDescent="0.3">
      <c r="A8" s="7" t="s">
        <v>8</v>
      </c>
      <c r="B8" s="7">
        <v>0</v>
      </c>
      <c r="C8" s="7">
        <v>0</v>
      </c>
      <c r="D8" s="7">
        <v>0</v>
      </c>
      <c r="E8" s="7">
        <v>1</v>
      </c>
      <c r="F8" s="7">
        <v>0</v>
      </c>
      <c r="G8" s="7">
        <v>1</v>
      </c>
      <c r="H8" s="7">
        <v>1</v>
      </c>
      <c r="I8" s="7">
        <v>0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</row>
    <row r="9" spans="1:16" x14ac:dyDescent="0.3">
      <c r="A9" s="7" t="s">
        <v>7</v>
      </c>
      <c r="B9" s="7">
        <v>0</v>
      </c>
      <c r="C9" s="7">
        <v>0</v>
      </c>
      <c r="D9" s="7">
        <v>0</v>
      </c>
      <c r="E9" s="7">
        <v>1</v>
      </c>
      <c r="F9" s="7">
        <v>0</v>
      </c>
      <c r="G9" s="7">
        <v>0</v>
      </c>
      <c r="H9" s="7">
        <v>0</v>
      </c>
      <c r="I9" s="7">
        <v>1</v>
      </c>
      <c r="J9" s="7">
        <v>1</v>
      </c>
      <c r="K9" s="7">
        <v>1</v>
      </c>
      <c r="L9" s="7">
        <v>0</v>
      </c>
      <c r="M9" s="7">
        <v>1</v>
      </c>
      <c r="N9" s="7">
        <v>1</v>
      </c>
      <c r="O9" s="7">
        <v>1</v>
      </c>
      <c r="P9" s="7">
        <v>1</v>
      </c>
    </row>
    <row r="10" spans="1:16" x14ac:dyDescent="0.3">
      <c r="A10" s="7" t="s">
        <v>6</v>
      </c>
      <c r="B10" s="7">
        <v>0</v>
      </c>
      <c r="C10" s="7">
        <v>0</v>
      </c>
      <c r="D10" s="7">
        <v>0</v>
      </c>
      <c r="E10" s="7">
        <v>1</v>
      </c>
      <c r="F10" s="7">
        <v>0</v>
      </c>
      <c r="G10" s="7">
        <v>0</v>
      </c>
      <c r="H10" s="7">
        <v>0</v>
      </c>
      <c r="I10" s="7">
        <v>0</v>
      </c>
      <c r="J10" s="7">
        <v>1</v>
      </c>
      <c r="K10" s="7">
        <v>1</v>
      </c>
      <c r="L10" s="7">
        <v>0</v>
      </c>
      <c r="M10" s="7">
        <v>1</v>
      </c>
      <c r="N10" s="7">
        <v>1</v>
      </c>
      <c r="O10" s="7">
        <v>1</v>
      </c>
      <c r="P10" s="7">
        <v>1</v>
      </c>
    </row>
    <row r="11" spans="1:16" x14ac:dyDescent="0.3">
      <c r="A11" s="7" t="s">
        <v>5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1</v>
      </c>
      <c r="H11" s="7">
        <v>0</v>
      </c>
      <c r="I11" s="7">
        <v>0</v>
      </c>
      <c r="J11" s="7">
        <v>0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1</v>
      </c>
    </row>
    <row r="12" spans="1:16" x14ac:dyDescent="0.3">
      <c r="A12" s="7" t="s">
        <v>4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1</v>
      </c>
      <c r="H12" s="7">
        <v>1</v>
      </c>
      <c r="I12" s="7">
        <v>0</v>
      </c>
      <c r="J12" s="7">
        <v>1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</row>
    <row r="13" spans="1:16" x14ac:dyDescent="0.3">
      <c r="A13" s="7" t="s">
        <v>3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1</v>
      </c>
      <c r="H13" s="7">
        <v>1</v>
      </c>
      <c r="I13" s="7">
        <v>0</v>
      </c>
      <c r="J13" s="7">
        <v>1</v>
      </c>
      <c r="K13" s="7">
        <v>1</v>
      </c>
      <c r="L13" s="7">
        <v>1</v>
      </c>
      <c r="M13" s="7">
        <v>1</v>
      </c>
      <c r="N13" s="7">
        <v>1</v>
      </c>
      <c r="O13" s="7">
        <v>1</v>
      </c>
      <c r="P13" s="7">
        <v>1</v>
      </c>
    </row>
    <row r="14" spans="1:16" x14ac:dyDescent="0.3">
      <c r="A14" s="7" t="s">
        <v>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1</v>
      </c>
      <c r="H14" s="7">
        <v>1</v>
      </c>
      <c r="I14" s="7">
        <v>0</v>
      </c>
      <c r="J14" s="7">
        <v>1</v>
      </c>
      <c r="K14" s="7">
        <v>1</v>
      </c>
      <c r="L14" s="7">
        <v>0</v>
      </c>
      <c r="M14" s="7">
        <v>1</v>
      </c>
      <c r="N14" s="7">
        <v>1</v>
      </c>
      <c r="O14" s="7">
        <v>1</v>
      </c>
      <c r="P14" s="7">
        <v>1</v>
      </c>
    </row>
    <row r="15" spans="1:16" x14ac:dyDescent="0.3">
      <c r="A15" s="7" t="s">
        <v>1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1</v>
      </c>
      <c r="P15" s="7">
        <v>1</v>
      </c>
    </row>
    <row r="16" spans="1:16" x14ac:dyDescent="0.3">
      <c r="A16" s="7" t="s">
        <v>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1</v>
      </c>
    </row>
    <row r="19" spans="1:16" ht="27.6" x14ac:dyDescent="0.3">
      <c r="A19" s="6" t="s">
        <v>16</v>
      </c>
      <c r="B19" s="6">
        <v>1</v>
      </c>
      <c r="C19" s="6">
        <v>2</v>
      </c>
      <c r="D19" s="6">
        <v>3</v>
      </c>
      <c r="E19" s="6">
        <v>4</v>
      </c>
      <c r="F19" s="6">
        <v>5</v>
      </c>
      <c r="G19" s="6">
        <v>6</v>
      </c>
      <c r="H19" s="6">
        <v>7</v>
      </c>
      <c r="I19" s="6">
        <v>8</v>
      </c>
      <c r="J19" s="6">
        <v>9</v>
      </c>
      <c r="K19" s="6">
        <v>10</v>
      </c>
      <c r="L19" s="6">
        <v>11</v>
      </c>
      <c r="M19" s="6">
        <v>12</v>
      </c>
      <c r="N19" s="6">
        <v>13</v>
      </c>
      <c r="O19" s="6">
        <v>14</v>
      </c>
      <c r="P19" s="6">
        <v>15</v>
      </c>
    </row>
    <row r="20" spans="1:16" x14ac:dyDescent="0.3">
      <c r="A20" s="7" t="s">
        <v>14</v>
      </c>
      <c r="B20" s="18">
        <v>1</v>
      </c>
      <c r="C20" s="18">
        <v>1</v>
      </c>
      <c r="D20" s="18">
        <v>1</v>
      </c>
      <c r="E20" s="18">
        <v>1</v>
      </c>
      <c r="F20" s="18">
        <v>1</v>
      </c>
      <c r="G20" s="18">
        <v>1</v>
      </c>
      <c r="H20" s="18">
        <v>1</v>
      </c>
      <c r="I20" s="18">
        <v>1</v>
      </c>
      <c r="J20" s="18">
        <v>1</v>
      </c>
      <c r="K20" s="18">
        <v>1</v>
      </c>
      <c r="L20" s="18">
        <v>1</v>
      </c>
      <c r="M20" s="18">
        <v>1</v>
      </c>
      <c r="N20" s="18">
        <v>1</v>
      </c>
      <c r="O20" s="18">
        <v>1</v>
      </c>
      <c r="P20" s="18">
        <v>1</v>
      </c>
    </row>
    <row r="21" spans="1:16" x14ac:dyDescent="0.3">
      <c r="A21" s="7" t="s">
        <v>13</v>
      </c>
      <c r="B21" s="18">
        <v>0</v>
      </c>
      <c r="C21" s="18">
        <v>1</v>
      </c>
      <c r="D21" s="18">
        <v>0</v>
      </c>
      <c r="E21" s="18" t="s">
        <v>26</v>
      </c>
      <c r="F21" s="18">
        <v>0</v>
      </c>
      <c r="G21" s="18" t="s">
        <v>26</v>
      </c>
      <c r="H21" s="18">
        <v>1</v>
      </c>
      <c r="I21" s="18">
        <v>0</v>
      </c>
      <c r="J21" s="18">
        <v>1</v>
      </c>
      <c r="K21" s="18" t="s">
        <v>26</v>
      </c>
      <c r="L21" s="18" t="s">
        <v>26</v>
      </c>
      <c r="M21" s="18">
        <v>1</v>
      </c>
      <c r="N21" s="18">
        <v>1</v>
      </c>
      <c r="O21" s="18">
        <v>1</v>
      </c>
      <c r="P21" s="18">
        <v>1</v>
      </c>
    </row>
    <row r="22" spans="1:16" x14ac:dyDescent="0.3">
      <c r="A22" s="7" t="s">
        <v>12</v>
      </c>
      <c r="B22" s="18">
        <v>0</v>
      </c>
      <c r="C22" s="18">
        <v>0</v>
      </c>
      <c r="D22" s="18">
        <v>1</v>
      </c>
      <c r="E22" s="18">
        <v>1</v>
      </c>
      <c r="F22" s="18">
        <v>0</v>
      </c>
      <c r="G22" s="18">
        <v>1</v>
      </c>
      <c r="H22" s="18" t="s">
        <v>26</v>
      </c>
      <c r="I22" s="18">
        <v>0</v>
      </c>
      <c r="J22" s="18">
        <v>1</v>
      </c>
      <c r="K22" s="18">
        <v>1</v>
      </c>
      <c r="L22" s="18">
        <v>1</v>
      </c>
      <c r="M22" s="18">
        <v>1</v>
      </c>
      <c r="N22" s="18">
        <v>1</v>
      </c>
      <c r="O22" s="18">
        <v>1</v>
      </c>
      <c r="P22" s="18">
        <v>1</v>
      </c>
    </row>
    <row r="23" spans="1:16" x14ac:dyDescent="0.3">
      <c r="A23" s="7" t="s">
        <v>11</v>
      </c>
      <c r="B23" s="18">
        <v>0</v>
      </c>
      <c r="C23" s="18">
        <v>0</v>
      </c>
      <c r="D23" s="18">
        <v>0</v>
      </c>
      <c r="E23" s="18">
        <v>1</v>
      </c>
      <c r="F23" s="18">
        <v>0</v>
      </c>
      <c r="G23" s="18">
        <v>1</v>
      </c>
      <c r="H23" s="18" t="s">
        <v>26</v>
      </c>
      <c r="I23" s="18">
        <v>0</v>
      </c>
      <c r="J23" s="18" t="s">
        <v>26</v>
      </c>
      <c r="K23" s="18">
        <v>1</v>
      </c>
      <c r="L23" s="18">
        <v>1</v>
      </c>
      <c r="M23" s="18">
        <v>1</v>
      </c>
      <c r="N23" s="18">
        <v>1</v>
      </c>
      <c r="O23" s="18">
        <v>1</v>
      </c>
      <c r="P23" s="18">
        <v>1</v>
      </c>
    </row>
    <row r="24" spans="1:16" x14ac:dyDescent="0.3">
      <c r="A24" s="7" t="s">
        <v>10</v>
      </c>
      <c r="B24" s="18">
        <v>0</v>
      </c>
      <c r="C24" s="18">
        <v>1</v>
      </c>
      <c r="D24" s="18">
        <v>1</v>
      </c>
      <c r="E24" s="18">
        <v>1</v>
      </c>
      <c r="F24" s="18">
        <v>1</v>
      </c>
      <c r="G24" s="18">
        <v>1</v>
      </c>
      <c r="H24" s="18" t="s">
        <v>26</v>
      </c>
      <c r="I24" s="18">
        <v>1</v>
      </c>
      <c r="J24" s="18">
        <v>1</v>
      </c>
      <c r="K24" s="18">
        <v>1</v>
      </c>
      <c r="L24" s="18">
        <v>1</v>
      </c>
      <c r="M24" s="18">
        <v>1</v>
      </c>
      <c r="N24" s="18">
        <v>1</v>
      </c>
      <c r="O24" s="18">
        <v>1</v>
      </c>
      <c r="P24" s="18">
        <v>1</v>
      </c>
    </row>
    <row r="25" spans="1:16" x14ac:dyDescent="0.3">
      <c r="A25" s="7" t="s">
        <v>9</v>
      </c>
      <c r="B25" s="18">
        <v>0</v>
      </c>
      <c r="C25" s="18">
        <v>0</v>
      </c>
      <c r="D25" s="18">
        <v>0</v>
      </c>
      <c r="E25" s="18">
        <v>1</v>
      </c>
      <c r="F25" s="18">
        <v>0</v>
      </c>
      <c r="G25" s="18">
        <v>1</v>
      </c>
      <c r="H25" s="18" t="s">
        <v>26</v>
      </c>
      <c r="I25" s="18">
        <v>0</v>
      </c>
      <c r="J25" s="18">
        <v>1</v>
      </c>
      <c r="K25" s="18">
        <v>1</v>
      </c>
      <c r="L25" s="18">
        <v>1</v>
      </c>
      <c r="M25" s="18">
        <v>1</v>
      </c>
      <c r="N25" s="18">
        <v>1</v>
      </c>
      <c r="O25" s="18">
        <v>1</v>
      </c>
      <c r="P25" s="18">
        <v>1</v>
      </c>
    </row>
    <row r="26" spans="1:16" x14ac:dyDescent="0.3">
      <c r="A26" s="7" t="s">
        <v>8</v>
      </c>
      <c r="B26" s="18">
        <v>0</v>
      </c>
      <c r="C26" s="18">
        <v>0</v>
      </c>
      <c r="D26" s="18">
        <v>0</v>
      </c>
      <c r="E26" s="18">
        <v>1</v>
      </c>
      <c r="F26" s="18">
        <v>0</v>
      </c>
      <c r="G26" s="18">
        <v>1</v>
      </c>
      <c r="H26" s="18">
        <v>1</v>
      </c>
      <c r="I26" s="18">
        <v>0</v>
      </c>
      <c r="J26" s="18">
        <v>1</v>
      </c>
      <c r="K26" s="18">
        <v>1</v>
      </c>
      <c r="L26" s="18">
        <v>1</v>
      </c>
      <c r="M26" s="18">
        <v>1</v>
      </c>
      <c r="N26" s="18">
        <v>1</v>
      </c>
      <c r="O26" s="18">
        <v>1</v>
      </c>
      <c r="P26" s="18">
        <v>1</v>
      </c>
    </row>
    <row r="27" spans="1:16" x14ac:dyDescent="0.3">
      <c r="A27" s="7" t="s">
        <v>7</v>
      </c>
      <c r="B27" s="18">
        <v>0</v>
      </c>
      <c r="C27" s="18">
        <v>0</v>
      </c>
      <c r="D27" s="18">
        <v>0</v>
      </c>
      <c r="E27" s="18">
        <v>1</v>
      </c>
      <c r="F27" s="18">
        <v>0</v>
      </c>
      <c r="G27" s="18" t="s">
        <v>26</v>
      </c>
      <c r="H27" s="18" t="s">
        <v>26</v>
      </c>
      <c r="I27" s="18">
        <v>1</v>
      </c>
      <c r="J27" s="18">
        <v>1</v>
      </c>
      <c r="K27" s="18">
        <v>1</v>
      </c>
      <c r="L27" s="18" t="s">
        <v>26</v>
      </c>
      <c r="M27" s="18">
        <v>1</v>
      </c>
      <c r="N27" s="18">
        <v>1</v>
      </c>
      <c r="O27" s="18">
        <v>1</v>
      </c>
      <c r="P27" s="18">
        <v>1</v>
      </c>
    </row>
    <row r="28" spans="1:16" x14ac:dyDescent="0.3">
      <c r="A28" s="7" t="s">
        <v>6</v>
      </c>
      <c r="B28" s="18">
        <v>0</v>
      </c>
      <c r="C28" s="18">
        <v>0</v>
      </c>
      <c r="D28" s="18">
        <v>0</v>
      </c>
      <c r="E28" s="18">
        <v>1</v>
      </c>
      <c r="F28" s="18">
        <v>0</v>
      </c>
      <c r="G28" s="18" t="s">
        <v>26</v>
      </c>
      <c r="H28" s="18" t="s">
        <v>26</v>
      </c>
      <c r="I28" s="18">
        <v>0</v>
      </c>
      <c r="J28" s="18">
        <v>1</v>
      </c>
      <c r="K28" s="18">
        <v>1</v>
      </c>
      <c r="L28" s="18" t="s">
        <v>26</v>
      </c>
      <c r="M28" s="18">
        <v>1</v>
      </c>
      <c r="N28" s="18">
        <v>1</v>
      </c>
      <c r="O28" s="18">
        <v>1</v>
      </c>
      <c r="P28" s="18">
        <v>1</v>
      </c>
    </row>
    <row r="29" spans="1:16" x14ac:dyDescent="0.3">
      <c r="A29" s="7" t="s">
        <v>5</v>
      </c>
      <c r="B29" s="18">
        <v>0</v>
      </c>
      <c r="C29" s="18">
        <v>0</v>
      </c>
      <c r="D29" s="18">
        <v>0</v>
      </c>
      <c r="E29" s="18" t="s">
        <v>26</v>
      </c>
      <c r="F29" s="18">
        <v>0</v>
      </c>
      <c r="G29" s="18">
        <v>1</v>
      </c>
      <c r="H29" s="18" t="s">
        <v>26</v>
      </c>
      <c r="I29" s="18">
        <v>0</v>
      </c>
      <c r="J29" s="18" t="s">
        <v>26</v>
      </c>
      <c r="K29" s="18">
        <v>1</v>
      </c>
      <c r="L29" s="18">
        <v>1</v>
      </c>
      <c r="M29" s="18">
        <v>1</v>
      </c>
      <c r="N29" s="18">
        <v>1</v>
      </c>
      <c r="O29" s="18">
        <v>1</v>
      </c>
      <c r="P29" s="18">
        <v>1</v>
      </c>
    </row>
    <row r="30" spans="1:16" x14ac:dyDescent="0.3">
      <c r="A30" s="7" t="s">
        <v>4</v>
      </c>
      <c r="B30" s="18">
        <v>0</v>
      </c>
      <c r="C30" s="18">
        <v>0</v>
      </c>
      <c r="D30" s="18">
        <v>0</v>
      </c>
      <c r="E30" s="18" t="s">
        <v>26</v>
      </c>
      <c r="F30" s="18">
        <v>0</v>
      </c>
      <c r="G30" s="18">
        <v>1</v>
      </c>
      <c r="H30" s="18">
        <v>1</v>
      </c>
      <c r="I30" s="18">
        <v>0</v>
      </c>
      <c r="J30" s="18">
        <v>1</v>
      </c>
      <c r="K30" s="18">
        <v>1</v>
      </c>
      <c r="L30" s="18">
        <v>1</v>
      </c>
      <c r="M30" s="18">
        <v>1</v>
      </c>
      <c r="N30" s="18">
        <v>1</v>
      </c>
      <c r="O30" s="18">
        <v>1</v>
      </c>
      <c r="P30" s="18">
        <v>1</v>
      </c>
    </row>
    <row r="31" spans="1:16" x14ac:dyDescent="0.3">
      <c r="A31" s="7" t="s">
        <v>3</v>
      </c>
      <c r="B31" s="18">
        <v>0</v>
      </c>
      <c r="C31" s="18">
        <v>0</v>
      </c>
      <c r="D31" s="18">
        <v>0</v>
      </c>
      <c r="E31" s="18" t="s">
        <v>26</v>
      </c>
      <c r="F31" s="18">
        <v>0</v>
      </c>
      <c r="G31" s="18">
        <v>1</v>
      </c>
      <c r="H31" s="18">
        <v>1</v>
      </c>
      <c r="I31" s="18">
        <v>0</v>
      </c>
      <c r="J31" s="18">
        <v>1</v>
      </c>
      <c r="K31" s="18">
        <v>1</v>
      </c>
      <c r="L31" s="18">
        <v>1</v>
      </c>
      <c r="M31" s="18">
        <v>1</v>
      </c>
      <c r="N31" s="18">
        <v>1</v>
      </c>
      <c r="O31" s="18">
        <v>1</v>
      </c>
      <c r="P31" s="18">
        <v>1</v>
      </c>
    </row>
    <row r="32" spans="1:16" x14ac:dyDescent="0.3">
      <c r="A32" s="7" t="s">
        <v>2</v>
      </c>
      <c r="B32" s="18">
        <v>0</v>
      </c>
      <c r="C32" s="18">
        <v>0</v>
      </c>
      <c r="D32" s="18">
        <v>0</v>
      </c>
      <c r="E32" s="18" t="s">
        <v>26</v>
      </c>
      <c r="F32" s="18">
        <v>0</v>
      </c>
      <c r="G32" s="18">
        <v>1</v>
      </c>
      <c r="H32" s="18">
        <v>1</v>
      </c>
      <c r="I32" s="18">
        <v>0</v>
      </c>
      <c r="J32" s="18">
        <v>1</v>
      </c>
      <c r="K32" s="18">
        <v>1</v>
      </c>
      <c r="L32" s="18" t="s">
        <v>26</v>
      </c>
      <c r="M32" s="18">
        <v>1</v>
      </c>
      <c r="N32" s="18">
        <v>1</v>
      </c>
      <c r="O32" s="18">
        <v>1</v>
      </c>
      <c r="P32" s="18">
        <v>1</v>
      </c>
    </row>
    <row r="33" spans="1:16" x14ac:dyDescent="0.3">
      <c r="A33" s="7" t="s">
        <v>1</v>
      </c>
      <c r="B33" s="18">
        <v>0</v>
      </c>
      <c r="C33" s="18">
        <v>0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0</v>
      </c>
      <c r="L33" s="18">
        <v>0</v>
      </c>
      <c r="M33" s="18">
        <v>0</v>
      </c>
      <c r="N33" s="18">
        <v>0</v>
      </c>
      <c r="O33" s="18">
        <v>1</v>
      </c>
      <c r="P33" s="18">
        <v>1</v>
      </c>
    </row>
    <row r="34" spans="1:16" x14ac:dyDescent="0.3">
      <c r="A34" s="7" t="s">
        <v>0</v>
      </c>
      <c r="B34" s="18">
        <v>0</v>
      </c>
      <c r="C34" s="18">
        <v>0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18">
        <v>0</v>
      </c>
      <c r="N34" s="18">
        <v>0</v>
      </c>
      <c r="O34" s="18">
        <v>0</v>
      </c>
      <c r="P34" s="18">
        <v>1</v>
      </c>
    </row>
    <row r="36" spans="1:16" ht="27.6" x14ac:dyDescent="0.3">
      <c r="A36" s="6" t="s">
        <v>16</v>
      </c>
      <c r="B36" s="6">
        <v>1</v>
      </c>
      <c r="C36" s="6">
        <v>2</v>
      </c>
      <c r="D36" s="6">
        <v>3</v>
      </c>
      <c r="E36" s="6">
        <v>4</v>
      </c>
      <c r="F36" s="6">
        <v>5</v>
      </c>
      <c r="G36" s="6">
        <v>6</v>
      </c>
      <c r="H36" s="6">
        <v>7</v>
      </c>
      <c r="I36" s="6">
        <v>8</v>
      </c>
      <c r="J36" s="6">
        <v>9</v>
      </c>
      <c r="K36" s="6">
        <v>10</v>
      </c>
      <c r="L36" s="6">
        <v>11</v>
      </c>
      <c r="M36" s="6">
        <v>12</v>
      </c>
      <c r="N36" s="6">
        <v>13</v>
      </c>
      <c r="O36" s="6">
        <v>14</v>
      </c>
      <c r="P36" s="6">
        <v>15</v>
      </c>
    </row>
    <row r="37" spans="1:16" x14ac:dyDescent="0.3">
      <c r="A37" s="7" t="s">
        <v>14</v>
      </c>
      <c r="B37" s="12">
        <v>1</v>
      </c>
      <c r="C37" s="12">
        <v>1</v>
      </c>
      <c r="D37" s="12">
        <v>1</v>
      </c>
      <c r="E37" s="12">
        <v>1</v>
      </c>
      <c r="F37" s="12">
        <v>1</v>
      </c>
      <c r="G37" s="12">
        <v>1</v>
      </c>
      <c r="H37" s="12">
        <v>1</v>
      </c>
      <c r="I37" s="12">
        <v>1</v>
      </c>
      <c r="J37" s="12">
        <v>1</v>
      </c>
      <c r="K37" s="12">
        <v>1</v>
      </c>
      <c r="L37" s="12">
        <v>1</v>
      </c>
      <c r="M37" s="12">
        <v>1</v>
      </c>
      <c r="N37" s="12">
        <v>1</v>
      </c>
      <c r="O37" s="12">
        <v>1</v>
      </c>
      <c r="P37" s="12">
        <v>1</v>
      </c>
    </row>
    <row r="38" spans="1:16" x14ac:dyDescent="0.3">
      <c r="A38" s="7" t="s">
        <v>13</v>
      </c>
      <c r="B38" s="12">
        <v>0</v>
      </c>
      <c r="C38" s="12">
        <v>1</v>
      </c>
      <c r="D38" s="12">
        <v>0</v>
      </c>
      <c r="E38" s="16" t="s">
        <v>26</v>
      </c>
      <c r="F38" s="12">
        <v>0</v>
      </c>
      <c r="G38" s="16" t="s">
        <v>26</v>
      </c>
      <c r="H38" s="12">
        <v>1</v>
      </c>
      <c r="I38" s="12">
        <v>0</v>
      </c>
      <c r="J38" s="12">
        <v>1</v>
      </c>
      <c r="K38" s="16" t="s">
        <v>26</v>
      </c>
      <c r="L38" s="16" t="s">
        <v>26</v>
      </c>
      <c r="M38" s="12">
        <v>1</v>
      </c>
      <c r="N38" s="12">
        <v>1</v>
      </c>
      <c r="O38" s="12">
        <v>1</v>
      </c>
      <c r="P38" s="12">
        <v>1</v>
      </c>
    </row>
    <row r="39" spans="1:16" x14ac:dyDescent="0.3">
      <c r="A39" s="7" t="s">
        <v>12</v>
      </c>
      <c r="B39" s="12">
        <v>0</v>
      </c>
      <c r="C39" s="12">
        <v>0</v>
      </c>
      <c r="D39" s="12">
        <v>1</v>
      </c>
      <c r="E39" s="12">
        <v>1</v>
      </c>
      <c r="F39" s="12">
        <v>0</v>
      </c>
      <c r="G39" s="12">
        <v>1</v>
      </c>
      <c r="H39" s="16" t="s">
        <v>26</v>
      </c>
      <c r="I39" s="12">
        <v>0</v>
      </c>
      <c r="J39" s="12">
        <v>1</v>
      </c>
      <c r="K39" s="12">
        <v>1</v>
      </c>
      <c r="L39" s="12">
        <v>1</v>
      </c>
      <c r="M39" s="12">
        <v>1</v>
      </c>
      <c r="N39" s="12">
        <v>1</v>
      </c>
      <c r="O39" s="12">
        <v>1</v>
      </c>
      <c r="P39" s="12">
        <v>1</v>
      </c>
    </row>
    <row r="40" spans="1:16" x14ac:dyDescent="0.3">
      <c r="A40" s="7" t="s">
        <v>11</v>
      </c>
      <c r="B40" s="12">
        <v>0</v>
      </c>
      <c r="C40" s="12">
        <v>0</v>
      </c>
      <c r="D40" s="12">
        <v>0</v>
      </c>
      <c r="E40" s="12">
        <v>1</v>
      </c>
      <c r="F40" s="12">
        <v>0</v>
      </c>
      <c r="G40" s="12">
        <v>1</v>
      </c>
      <c r="H40" s="16" t="s">
        <v>26</v>
      </c>
      <c r="I40" s="12">
        <v>0</v>
      </c>
      <c r="J40" s="16" t="s">
        <v>26</v>
      </c>
      <c r="K40" s="12">
        <v>1</v>
      </c>
      <c r="L40" s="12">
        <v>1</v>
      </c>
      <c r="M40" s="12">
        <v>1</v>
      </c>
      <c r="N40" s="12">
        <v>1</v>
      </c>
      <c r="O40" s="12">
        <v>1</v>
      </c>
      <c r="P40" s="12">
        <v>1</v>
      </c>
    </row>
    <row r="41" spans="1:16" x14ac:dyDescent="0.3">
      <c r="A41" s="7" t="s">
        <v>10</v>
      </c>
      <c r="B41" s="12">
        <v>0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6" t="s">
        <v>26</v>
      </c>
      <c r="I41" s="12">
        <v>1</v>
      </c>
      <c r="J41" s="12">
        <v>1</v>
      </c>
      <c r="K41" s="12">
        <v>1</v>
      </c>
      <c r="L41" s="12">
        <v>1</v>
      </c>
      <c r="M41" s="12">
        <v>1</v>
      </c>
      <c r="N41" s="12">
        <v>1</v>
      </c>
      <c r="O41" s="12">
        <v>1</v>
      </c>
      <c r="P41" s="12">
        <v>1</v>
      </c>
    </row>
    <row r="42" spans="1:16" x14ac:dyDescent="0.3">
      <c r="A42" s="7" t="s">
        <v>9</v>
      </c>
      <c r="B42" s="12">
        <v>0</v>
      </c>
      <c r="C42" s="12">
        <v>0</v>
      </c>
      <c r="D42" s="12">
        <v>0</v>
      </c>
      <c r="E42" s="12">
        <v>1</v>
      </c>
      <c r="F42" s="12">
        <v>0</v>
      </c>
      <c r="G42" s="12">
        <v>1</v>
      </c>
      <c r="H42" s="16" t="s">
        <v>26</v>
      </c>
      <c r="I42" s="12">
        <v>0</v>
      </c>
      <c r="J42" s="12">
        <v>1</v>
      </c>
      <c r="K42" s="12">
        <v>1</v>
      </c>
      <c r="L42" s="12">
        <v>1</v>
      </c>
      <c r="M42" s="12">
        <v>1</v>
      </c>
      <c r="N42" s="12">
        <v>1</v>
      </c>
      <c r="O42" s="12">
        <v>1</v>
      </c>
      <c r="P42" s="12">
        <v>1</v>
      </c>
    </row>
    <row r="43" spans="1:16" x14ac:dyDescent="0.3">
      <c r="A43" s="7" t="s">
        <v>8</v>
      </c>
      <c r="B43" s="12">
        <v>0</v>
      </c>
      <c r="C43" s="12">
        <v>0</v>
      </c>
      <c r="D43" s="12">
        <v>0</v>
      </c>
      <c r="E43" s="12">
        <v>1</v>
      </c>
      <c r="F43" s="12">
        <v>0</v>
      </c>
      <c r="G43" s="12">
        <v>1</v>
      </c>
      <c r="H43" s="12">
        <v>1</v>
      </c>
      <c r="I43" s="12">
        <v>0</v>
      </c>
      <c r="J43" s="12">
        <v>1</v>
      </c>
      <c r="K43" s="12">
        <v>1</v>
      </c>
      <c r="L43" s="12">
        <v>1</v>
      </c>
      <c r="M43" s="12">
        <v>1</v>
      </c>
      <c r="N43" s="12">
        <v>1</v>
      </c>
      <c r="O43" s="12">
        <v>1</v>
      </c>
      <c r="P43" s="12">
        <v>1</v>
      </c>
    </row>
    <row r="44" spans="1:16" x14ac:dyDescent="0.3">
      <c r="A44" s="7" t="s">
        <v>7</v>
      </c>
      <c r="B44" s="12">
        <v>0</v>
      </c>
      <c r="C44" s="12">
        <v>0</v>
      </c>
      <c r="D44" s="12">
        <v>0</v>
      </c>
      <c r="E44" s="12">
        <v>1</v>
      </c>
      <c r="F44" s="12">
        <v>0</v>
      </c>
      <c r="G44" s="16" t="s">
        <v>26</v>
      </c>
      <c r="H44" s="16" t="s">
        <v>26</v>
      </c>
      <c r="I44" s="12">
        <v>1</v>
      </c>
      <c r="J44" s="12">
        <v>1</v>
      </c>
      <c r="K44" s="12">
        <v>1</v>
      </c>
      <c r="L44" s="16" t="s">
        <v>26</v>
      </c>
      <c r="M44" s="12">
        <v>1</v>
      </c>
      <c r="N44" s="12">
        <v>1</v>
      </c>
      <c r="O44" s="12">
        <v>1</v>
      </c>
      <c r="P44" s="12">
        <v>1</v>
      </c>
    </row>
    <row r="45" spans="1:16" x14ac:dyDescent="0.3">
      <c r="A45" s="7" t="s">
        <v>6</v>
      </c>
      <c r="B45" s="12">
        <v>0</v>
      </c>
      <c r="C45" s="12">
        <v>0</v>
      </c>
      <c r="D45" s="12">
        <v>0</v>
      </c>
      <c r="E45" s="12">
        <v>1</v>
      </c>
      <c r="F45" s="12">
        <v>0</v>
      </c>
      <c r="G45" s="16" t="s">
        <v>26</v>
      </c>
      <c r="H45" s="16" t="s">
        <v>26</v>
      </c>
      <c r="I45" s="12">
        <v>0</v>
      </c>
      <c r="J45" s="12">
        <v>1</v>
      </c>
      <c r="K45" s="12">
        <v>1</v>
      </c>
      <c r="L45" s="16" t="s">
        <v>26</v>
      </c>
      <c r="M45" s="12">
        <v>1</v>
      </c>
      <c r="N45" s="12">
        <v>1</v>
      </c>
      <c r="O45" s="12">
        <v>1</v>
      </c>
      <c r="P45" s="12">
        <v>1</v>
      </c>
    </row>
    <row r="46" spans="1:16" x14ac:dyDescent="0.3">
      <c r="A46" s="7" t="s">
        <v>5</v>
      </c>
      <c r="B46" s="12">
        <v>0</v>
      </c>
      <c r="C46" s="12">
        <v>0</v>
      </c>
      <c r="D46" s="12">
        <v>0</v>
      </c>
      <c r="E46" s="16" t="s">
        <v>26</v>
      </c>
      <c r="F46" s="12">
        <v>0</v>
      </c>
      <c r="G46" s="12">
        <v>1</v>
      </c>
      <c r="H46" s="16" t="s">
        <v>26</v>
      </c>
      <c r="I46" s="12">
        <v>0</v>
      </c>
      <c r="J46" s="16" t="s">
        <v>26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</row>
    <row r="47" spans="1:16" x14ac:dyDescent="0.3">
      <c r="A47" s="7" t="s">
        <v>4</v>
      </c>
      <c r="B47" s="12">
        <v>0</v>
      </c>
      <c r="C47" s="12">
        <v>0</v>
      </c>
      <c r="D47" s="12">
        <v>0</v>
      </c>
      <c r="E47" s="16" t="s">
        <v>26</v>
      </c>
      <c r="F47" s="12">
        <v>0</v>
      </c>
      <c r="G47" s="12">
        <v>1</v>
      </c>
      <c r="H47" s="12">
        <v>1</v>
      </c>
      <c r="I47" s="12">
        <v>0</v>
      </c>
      <c r="J47" s="12">
        <v>1</v>
      </c>
      <c r="K47" s="12">
        <v>1</v>
      </c>
      <c r="L47" s="12">
        <v>1</v>
      </c>
      <c r="M47" s="12">
        <v>1</v>
      </c>
      <c r="N47" s="12">
        <v>1</v>
      </c>
      <c r="O47" s="12">
        <v>1</v>
      </c>
      <c r="P47" s="12">
        <v>1</v>
      </c>
    </row>
    <row r="48" spans="1:16" x14ac:dyDescent="0.3">
      <c r="A48" s="7" t="s">
        <v>3</v>
      </c>
      <c r="B48" s="12">
        <v>0</v>
      </c>
      <c r="C48" s="12">
        <v>0</v>
      </c>
      <c r="D48" s="12">
        <v>0</v>
      </c>
      <c r="E48" s="16" t="s">
        <v>26</v>
      </c>
      <c r="F48" s="12">
        <v>0</v>
      </c>
      <c r="G48" s="12">
        <v>1</v>
      </c>
      <c r="H48" s="12">
        <v>1</v>
      </c>
      <c r="I48" s="12">
        <v>0</v>
      </c>
      <c r="J48" s="12">
        <v>1</v>
      </c>
      <c r="K48" s="12">
        <v>1</v>
      </c>
      <c r="L48" s="12">
        <v>1</v>
      </c>
      <c r="M48" s="12">
        <v>1</v>
      </c>
      <c r="N48" s="12">
        <v>1</v>
      </c>
      <c r="O48" s="12">
        <v>1</v>
      </c>
      <c r="P48" s="12">
        <v>1</v>
      </c>
    </row>
    <row r="49" spans="1:16" x14ac:dyDescent="0.3">
      <c r="A49" s="7" t="s">
        <v>2</v>
      </c>
      <c r="B49" s="12">
        <v>0</v>
      </c>
      <c r="C49" s="12">
        <v>0</v>
      </c>
      <c r="D49" s="12">
        <v>0</v>
      </c>
      <c r="E49" s="16" t="s">
        <v>26</v>
      </c>
      <c r="F49" s="12">
        <v>0</v>
      </c>
      <c r="G49" s="12">
        <v>1</v>
      </c>
      <c r="H49" s="12">
        <v>1</v>
      </c>
      <c r="I49" s="12">
        <v>0</v>
      </c>
      <c r="J49" s="12">
        <v>1</v>
      </c>
      <c r="K49" s="12">
        <v>1</v>
      </c>
      <c r="L49" s="16" t="s">
        <v>26</v>
      </c>
      <c r="M49" s="12">
        <v>1</v>
      </c>
      <c r="N49" s="12">
        <v>1</v>
      </c>
      <c r="O49" s="12">
        <v>1</v>
      </c>
      <c r="P49" s="12">
        <v>1</v>
      </c>
    </row>
    <row r="50" spans="1:16" x14ac:dyDescent="0.3">
      <c r="A50" s="7" t="s">
        <v>1</v>
      </c>
      <c r="B50" s="12">
        <v>0</v>
      </c>
      <c r="C50" s="12">
        <v>0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12">
        <v>1</v>
      </c>
      <c r="P50" s="12">
        <v>1</v>
      </c>
    </row>
    <row r="51" spans="1:16" x14ac:dyDescent="0.3">
      <c r="A51" s="7" t="s">
        <v>0</v>
      </c>
      <c r="B51" s="12">
        <v>0</v>
      </c>
      <c r="C51" s="12">
        <v>0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12">
        <v>0</v>
      </c>
      <c r="P51" s="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1733-E419-4007-B969-4F0995EDD8B3}">
  <sheetPr codeName="Sheet5"/>
  <dimension ref="A1:P51"/>
  <sheetViews>
    <sheetView workbookViewId="0">
      <selection activeCell="K26" sqref="K26"/>
    </sheetView>
  </sheetViews>
  <sheetFormatPr defaultRowHeight="14.4" x14ac:dyDescent="0.3"/>
  <cols>
    <col min="2" max="2" width="34.21875" bestFit="1" customWidth="1"/>
  </cols>
  <sheetData>
    <row r="1" spans="1:16" ht="27.6" x14ac:dyDescent="0.3">
      <c r="A1" s="6" t="s">
        <v>16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7</v>
      </c>
      <c r="I1" s="6">
        <v>8</v>
      </c>
      <c r="J1" s="6">
        <v>9</v>
      </c>
      <c r="K1" s="6">
        <v>1</v>
      </c>
      <c r="L1" s="6">
        <v>1</v>
      </c>
      <c r="M1" s="6">
        <v>1</v>
      </c>
      <c r="N1" s="6">
        <v>1</v>
      </c>
      <c r="O1" s="6">
        <v>1</v>
      </c>
      <c r="P1" s="6">
        <v>1</v>
      </c>
    </row>
    <row r="2" spans="1:16" x14ac:dyDescent="0.3">
      <c r="A2" s="7" t="s">
        <v>14</v>
      </c>
      <c r="B2" s="18">
        <v>1</v>
      </c>
      <c r="C2" s="18">
        <v>1</v>
      </c>
      <c r="D2" s="18">
        <v>1</v>
      </c>
      <c r="E2" s="18">
        <v>1</v>
      </c>
      <c r="F2" s="18">
        <v>1</v>
      </c>
      <c r="G2" s="18">
        <v>1</v>
      </c>
      <c r="H2" s="18">
        <v>1</v>
      </c>
      <c r="I2" s="18">
        <v>1</v>
      </c>
      <c r="J2" s="18">
        <v>1</v>
      </c>
      <c r="K2" s="18">
        <v>1</v>
      </c>
      <c r="L2" s="18">
        <v>1</v>
      </c>
      <c r="M2" s="18">
        <v>1</v>
      </c>
      <c r="N2" s="18">
        <v>1</v>
      </c>
      <c r="O2" s="18">
        <v>1</v>
      </c>
      <c r="P2" s="18">
        <v>1</v>
      </c>
    </row>
    <row r="3" spans="1:16" x14ac:dyDescent="0.3">
      <c r="A3" s="7" t="s">
        <v>13</v>
      </c>
      <c r="B3" s="18">
        <v>0</v>
      </c>
      <c r="C3" s="18">
        <v>1</v>
      </c>
      <c r="D3" s="18">
        <v>0</v>
      </c>
      <c r="E3" s="18">
        <v>1</v>
      </c>
      <c r="F3" s="18">
        <v>0</v>
      </c>
      <c r="G3" s="18">
        <v>1</v>
      </c>
      <c r="H3" s="18">
        <v>1</v>
      </c>
      <c r="I3" s="18">
        <v>0</v>
      </c>
      <c r="J3" s="18">
        <v>1</v>
      </c>
      <c r="K3" s="18">
        <v>1</v>
      </c>
      <c r="L3" s="18">
        <v>1</v>
      </c>
      <c r="M3" s="18">
        <v>1</v>
      </c>
      <c r="N3" s="18">
        <v>1</v>
      </c>
      <c r="O3" s="18">
        <v>1</v>
      </c>
      <c r="P3" s="18">
        <v>1</v>
      </c>
    </row>
    <row r="4" spans="1:16" x14ac:dyDescent="0.3">
      <c r="A4" s="7" t="s">
        <v>12</v>
      </c>
      <c r="B4" s="18">
        <v>0</v>
      </c>
      <c r="C4" s="18">
        <v>0</v>
      </c>
      <c r="D4" s="18">
        <v>1</v>
      </c>
      <c r="E4" s="18">
        <v>1</v>
      </c>
      <c r="F4" s="18">
        <v>0</v>
      </c>
      <c r="G4" s="18">
        <v>1</v>
      </c>
      <c r="H4" s="18">
        <v>1</v>
      </c>
      <c r="I4" s="18">
        <v>0</v>
      </c>
      <c r="J4" s="18">
        <v>1</v>
      </c>
      <c r="K4" s="18">
        <v>1</v>
      </c>
      <c r="L4" s="18">
        <v>1</v>
      </c>
      <c r="M4" s="18">
        <v>1</v>
      </c>
      <c r="N4" s="18">
        <v>1</v>
      </c>
      <c r="O4" s="18">
        <v>1</v>
      </c>
      <c r="P4" s="18">
        <v>1</v>
      </c>
    </row>
    <row r="5" spans="1:16" x14ac:dyDescent="0.3">
      <c r="A5" s="7" t="s">
        <v>11</v>
      </c>
      <c r="B5" s="18">
        <v>0</v>
      </c>
      <c r="C5" s="18">
        <v>0</v>
      </c>
      <c r="D5" s="18">
        <v>0</v>
      </c>
      <c r="E5" s="18">
        <v>1</v>
      </c>
      <c r="F5" s="18">
        <v>0</v>
      </c>
      <c r="G5" s="18">
        <v>1</v>
      </c>
      <c r="H5" s="18">
        <v>1</v>
      </c>
      <c r="I5" s="18">
        <v>0</v>
      </c>
      <c r="J5" s="18">
        <v>1</v>
      </c>
      <c r="K5" s="18">
        <v>1</v>
      </c>
      <c r="L5" s="18">
        <v>1</v>
      </c>
      <c r="M5" s="18">
        <v>1</v>
      </c>
      <c r="N5" s="18">
        <v>1</v>
      </c>
      <c r="O5" s="18">
        <v>1</v>
      </c>
      <c r="P5" s="18">
        <v>1</v>
      </c>
    </row>
    <row r="6" spans="1:16" x14ac:dyDescent="0.3">
      <c r="A6" s="7" t="s">
        <v>10</v>
      </c>
      <c r="B6" s="18">
        <v>0</v>
      </c>
      <c r="C6" s="18">
        <v>1</v>
      </c>
      <c r="D6" s="18">
        <v>1</v>
      </c>
      <c r="E6" s="18">
        <v>1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1:16" x14ac:dyDescent="0.3">
      <c r="A7" s="7" t="s">
        <v>9</v>
      </c>
      <c r="B7" s="18">
        <v>0</v>
      </c>
      <c r="C7" s="18">
        <v>0</v>
      </c>
      <c r="D7" s="18">
        <v>0</v>
      </c>
      <c r="E7" s="18">
        <v>1</v>
      </c>
      <c r="F7" s="18">
        <v>0</v>
      </c>
      <c r="G7" s="18">
        <v>1</v>
      </c>
      <c r="H7" s="18">
        <v>1</v>
      </c>
      <c r="I7" s="18">
        <v>0</v>
      </c>
      <c r="J7" s="18">
        <v>1</v>
      </c>
      <c r="K7" s="18">
        <v>1</v>
      </c>
      <c r="L7" s="18">
        <v>1</v>
      </c>
      <c r="M7" s="18">
        <v>1</v>
      </c>
      <c r="N7" s="18">
        <v>1</v>
      </c>
      <c r="O7" s="18">
        <v>1</v>
      </c>
      <c r="P7" s="18">
        <v>1</v>
      </c>
    </row>
    <row r="8" spans="1:16" x14ac:dyDescent="0.3">
      <c r="A8" s="7" t="s">
        <v>8</v>
      </c>
      <c r="B8" s="18">
        <v>0</v>
      </c>
      <c r="C8" s="18">
        <v>0</v>
      </c>
      <c r="D8" s="18">
        <v>0</v>
      </c>
      <c r="E8" s="18">
        <v>1</v>
      </c>
      <c r="F8" s="18">
        <v>0</v>
      </c>
      <c r="G8" s="18">
        <v>1</v>
      </c>
      <c r="H8" s="18">
        <v>1</v>
      </c>
      <c r="I8" s="18">
        <v>0</v>
      </c>
      <c r="J8" s="18">
        <v>1</v>
      </c>
      <c r="K8" s="18">
        <v>1</v>
      </c>
      <c r="L8" s="18">
        <v>1</v>
      </c>
      <c r="M8" s="18">
        <v>1</v>
      </c>
      <c r="N8" s="18">
        <v>1</v>
      </c>
      <c r="O8" s="18">
        <v>1</v>
      </c>
      <c r="P8" s="18">
        <v>1</v>
      </c>
    </row>
    <row r="9" spans="1:16" x14ac:dyDescent="0.3">
      <c r="A9" s="7" t="s">
        <v>7</v>
      </c>
      <c r="B9" s="18">
        <v>0</v>
      </c>
      <c r="C9" s="18">
        <v>0</v>
      </c>
      <c r="D9" s="18">
        <v>0</v>
      </c>
      <c r="E9" s="18">
        <v>1</v>
      </c>
      <c r="F9" s="18">
        <v>0</v>
      </c>
      <c r="G9" s="18">
        <v>1</v>
      </c>
      <c r="H9" s="18">
        <v>1</v>
      </c>
      <c r="I9" s="18">
        <v>1</v>
      </c>
      <c r="J9" s="18">
        <v>1</v>
      </c>
      <c r="K9" s="18">
        <v>1</v>
      </c>
      <c r="L9" s="18">
        <v>1</v>
      </c>
      <c r="M9" s="18">
        <v>1</v>
      </c>
      <c r="N9" s="18">
        <v>1</v>
      </c>
      <c r="O9" s="18">
        <v>1</v>
      </c>
      <c r="P9" s="18">
        <v>1</v>
      </c>
    </row>
    <row r="10" spans="1:16" x14ac:dyDescent="0.3">
      <c r="A10" s="7" t="s">
        <v>6</v>
      </c>
      <c r="B10" s="18">
        <v>0</v>
      </c>
      <c r="C10" s="18">
        <v>0</v>
      </c>
      <c r="D10" s="18">
        <v>0</v>
      </c>
      <c r="E10" s="18">
        <v>1</v>
      </c>
      <c r="F10" s="18">
        <v>0</v>
      </c>
      <c r="G10" s="18">
        <v>1</v>
      </c>
      <c r="H10" s="18">
        <v>1</v>
      </c>
      <c r="I10" s="18">
        <v>0</v>
      </c>
      <c r="J10" s="18">
        <v>1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</row>
    <row r="11" spans="1:16" x14ac:dyDescent="0.3">
      <c r="A11" s="7" t="s">
        <v>14</v>
      </c>
      <c r="B11" s="18">
        <v>0</v>
      </c>
      <c r="C11" s="18">
        <v>0</v>
      </c>
      <c r="D11" s="18">
        <v>0</v>
      </c>
      <c r="E11" s="18">
        <v>1</v>
      </c>
      <c r="F11" s="18">
        <v>0</v>
      </c>
      <c r="G11" s="18">
        <v>1</v>
      </c>
      <c r="H11" s="18">
        <v>1</v>
      </c>
      <c r="I11" s="18">
        <v>0</v>
      </c>
      <c r="J11" s="18">
        <v>1</v>
      </c>
      <c r="K11" s="18">
        <v>1</v>
      </c>
      <c r="L11" s="18">
        <v>1</v>
      </c>
      <c r="M11" s="18">
        <v>1</v>
      </c>
      <c r="N11" s="18">
        <v>1</v>
      </c>
      <c r="O11" s="18">
        <v>1</v>
      </c>
      <c r="P11" s="18">
        <v>1</v>
      </c>
    </row>
    <row r="12" spans="1:16" x14ac:dyDescent="0.3">
      <c r="A12" s="7" t="s">
        <v>14</v>
      </c>
      <c r="B12" s="18">
        <v>0</v>
      </c>
      <c r="C12" s="18">
        <v>0</v>
      </c>
      <c r="D12" s="18">
        <v>0</v>
      </c>
      <c r="E12" s="18">
        <v>1</v>
      </c>
      <c r="F12" s="18">
        <v>0</v>
      </c>
      <c r="G12" s="18">
        <v>1</v>
      </c>
      <c r="H12" s="18">
        <v>1</v>
      </c>
      <c r="I12" s="18">
        <v>0</v>
      </c>
      <c r="J12" s="18">
        <v>1</v>
      </c>
      <c r="K12" s="18">
        <v>1</v>
      </c>
      <c r="L12" s="18">
        <v>1</v>
      </c>
      <c r="M12" s="18">
        <v>1</v>
      </c>
      <c r="N12" s="18">
        <v>1</v>
      </c>
      <c r="O12" s="18">
        <v>1</v>
      </c>
      <c r="P12" s="18">
        <v>1</v>
      </c>
    </row>
    <row r="13" spans="1:16" x14ac:dyDescent="0.3">
      <c r="A13" s="7" t="s">
        <v>14</v>
      </c>
      <c r="B13" s="18">
        <v>0</v>
      </c>
      <c r="C13" s="18">
        <v>0</v>
      </c>
      <c r="D13" s="18">
        <v>0</v>
      </c>
      <c r="E13" s="18">
        <v>1</v>
      </c>
      <c r="F13" s="18">
        <v>0</v>
      </c>
      <c r="G13" s="18">
        <v>1</v>
      </c>
      <c r="H13" s="18">
        <v>1</v>
      </c>
      <c r="I13" s="18">
        <v>0</v>
      </c>
      <c r="J13" s="18">
        <v>1</v>
      </c>
      <c r="K13" s="18">
        <v>1</v>
      </c>
      <c r="L13" s="18">
        <v>1</v>
      </c>
      <c r="M13" s="18">
        <v>1</v>
      </c>
      <c r="N13" s="18">
        <v>1</v>
      </c>
      <c r="O13" s="18">
        <v>1</v>
      </c>
      <c r="P13" s="18">
        <v>1</v>
      </c>
    </row>
    <row r="14" spans="1:16" x14ac:dyDescent="0.3">
      <c r="A14" s="7" t="s">
        <v>14</v>
      </c>
      <c r="B14" s="18">
        <v>0</v>
      </c>
      <c r="C14" s="18">
        <v>0</v>
      </c>
      <c r="D14" s="18">
        <v>0</v>
      </c>
      <c r="E14" s="18">
        <v>1</v>
      </c>
      <c r="F14" s="18">
        <v>0</v>
      </c>
      <c r="G14" s="18">
        <v>1</v>
      </c>
      <c r="H14" s="18">
        <v>1</v>
      </c>
      <c r="I14" s="18">
        <v>0</v>
      </c>
      <c r="J14" s="18">
        <v>1</v>
      </c>
      <c r="K14" s="18">
        <v>1</v>
      </c>
      <c r="L14" s="18">
        <v>1</v>
      </c>
      <c r="M14" s="18">
        <v>1</v>
      </c>
      <c r="N14" s="18">
        <v>1</v>
      </c>
      <c r="O14" s="18">
        <v>1</v>
      </c>
      <c r="P14" s="18">
        <v>1</v>
      </c>
    </row>
    <row r="15" spans="1:16" x14ac:dyDescent="0.3">
      <c r="A15" s="7" t="s">
        <v>14</v>
      </c>
      <c r="B15" s="18">
        <v>0</v>
      </c>
      <c r="C15" s="18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1</v>
      </c>
      <c r="P15" s="18">
        <v>1</v>
      </c>
    </row>
    <row r="16" spans="1:16" x14ac:dyDescent="0.3">
      <c r="A16" s="7" t="s">
        <v>14</v>
      </c>
      <c r="B16" s="18">
        <v>0</v>
      </c>
      <c r="C16" s="18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1</v>
      </c>
    </row>
    <row r="20" spans="1:16" x14ac:dyDescent="0.3">
      <c r="A20" s="19"/>
      <c r="B20" s="19" t="s">
        <v>58</v>
      </c>
      <c r="C20" s="19" t="s">
        <v>59</v>
      </c>
      <c r="D20" s="19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1:16" x14ac:dyDescent="0.3">
      <c r="A21" s="19"/>
      <c r="B21" s="19" t="s">
        <v>71</v>
      </c>
      <c r="C21" s="19" t="s">
        <v>60</v>
      </c>
      <c r="D21" s="19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1:16" x14ac:dyDescent="0.3">
      <c r="A22" s="19"/>
      <c r="B22" s="19" t="s">
        <v>72</v>
      </c>
      <c r="C22" s="19" t="s">
        <v>61</v>
      </c>
      <c r="D22" s="19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1:16" x14ac:dyDescent="0.3">
      <c r="A23" s="19"/>
      <c r="B23" s="19" t="s">
        <v>73</v>
      </c>
      <c r="C23" s="19" t="s">
        <v>74</v>
      </c>
      <c r="D23" s="19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1:16" x14ac:dyDescent="0.3">
      <c r="A24" s="19"/>
      <c r="B24" s="19" t="s">
        <v>75</v>
      </c>
      <c r="C24" s="19" t="s">
        <v>62</v>
      </c>
      <c r="D24" s="19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1:16" x14ac:dyDescent="0.3">
      <c r="A25" s="19"/>
      <c r="B25" s="19" t="s">
        <v>76</v>
      </c>
      <c r="C25" s="19" t="s">
        <v>77</v>
      </c>
      <c r="D25" s="19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1:16" x14ac:dyDescent="0.3">
      <c r="A26" s="19"/>
      <c r="B26" s="19" t="s">
        <v>63</v>
      </c>
      <c r="C26" s="19" t="s">
        <v>78</v>
      </c>
      <c r="D26" s="19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1:16" x14ac:dyDescent="0.3">
      <c r="A27" s="19"/>
      <c r="B27" s="19" t="s">
        <v>79</v>
      </c>
      <c r="C27" s="19" t="s">
        <v>64</v>
      </c>
      <c r="D27" s="19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1:16" x14ac:dyDescent="0.3">
      <c r="A28" s="19"/>
      <c r="B28" s="19" t="s">
        <v>80</v>
      </c>
      <c r="C28" s="19" t="s">
        <v>81</v>
      </c>
      <c r="D28" s="19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1:16" x14ac:dyDescent="0.3">
      <c r="A29" s="19"/>
      <c r="B29" s="19" t="s">
        <v>82</v>
      </c>
      <c r="C29" s="19" t="s">
        <v>83</v>
      </c>
      <c r="D29" s="19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3">
      <c r="A30" s="19"/>
      <c r="B30" s="19" t="s">
        <v>84</v>
      </c>
      <c r="C30" s="19" t="s">
        <v>85</v>
      </c>
      <c r="D30" s="19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3">
      <c r="A31" s="19"/>
      <c r="B31" s="19" t="s">
        <v>86</v>
      </c>
      <c r="C31" s="19" t="s">
        <v>65</v>
      </c>
      <c r="D31" s="19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3">
      <c r="A32" s="19"/>
      <c r="B32" s="19" t="s">
        <v>87</v>
      </c>
      <c r="C32" s="19" t="s">
        <v>66</v>
      </c>
      <c r="D32" s="19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3">
      <c r="A33" s="19"/>
      <c r="B33" s="19" t="s">
        <v>67</v>
      </c>
      <c r="C33" s="19" t="s">
        <v>68</v>
      </c>
      <c r="D33" s="19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1:16" x14ac:dyDescent="0.3">
      <c r="A34" s="19"/>
      <c r="B34" s="19" t="s">
        <v>69</v>
      </c>
      <c r="C34" s="19" t="s">
        <v>70</v>
      </c>
      <c r="D34" s="19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7" spans="1:16" x14ac:dyDescent="0.3">
      <c r="A37">
        <v>1</v>
      </c>
      <c r="B37" s="18" t="s">
        <v>47</v>
      </c>
      <c r="C37" s="19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1:16" x14ac:dyDescent="0.3">
      <c r="A38">
        <v>2</v>
      </c>
      <c r="B38" s="18" t="s">
        <v>45</v>
      </c>
      <c r="C38" s="19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1:16" x14ac:dyDescent="0.3">
      <c r="A39">
        <v>3</v>
      </c>
      <c r="B39" s="18" t="s">
        <v>88</v>
      </c>
      <c r="C39" s="19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1:16" x14ac:dyDescent="0.3">
      <c r="A40">
        <v>4</v>
      </c>
      <c r="B40" s="18" t="s">
        <v>89</v>
      </c>
      <c r="C40" s="19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1:16" x14ac:dyDescent="0.3">
      <c r="A41">
        <v>5</v>
      </c>
      <c r="B41" s="18" t="s">
        <v>41</v>
      </c>
      <c r="C41" s="19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1:16" x14ac:dyDescent="0.3">
      <c r="A42">
        <v>6</v>
      </c>
      <c r="B42" s="18" t="s">
        <v>34</v>
      </c>
      <c r="C42" s="19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1:16" x14ac:dyDescent="0.3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1:16" x14ac:dyDescent="0.3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1:16" x14ac:dyDescent="0.3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3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1:16" x14ac:dyDescent="0.3"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1:16" x14ac:dyDescent="0.3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2:16" x14ac:dyDescent="0.3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2:16" x14ac:dyDescent="0.3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2:16" x14ac:dyDescent="0.3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409-ECC7-496E-98BC-AA8955EE8EB2}">
  <sheetPr codeName="Sheet6"/>
  <dimension ref="A1:T33"/>
  <sheetViews>
    <sheetView topLeftCell="A4" workbookViewId="0">
      <selection activeCell="F31" sqref="F31"/>
    </sheetView>
  </sheetViews>
  <sheetFormatPr defaultRowHeight="14.4" x14ac:dyDescent="0.3"/>
  <cols>
    <col min="2" max="2" width="9.44140625" customWidth="1"/>
  </cols>
  <sheetData>
    <row r="1" spans="1:20" ht="27.6" x14ac:dyDescent="0.3">
      <c r="A1" s="6" t="s">
        <v>16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14</v>
      </c>
      <c r="P1" s="6">
        <v>15</v>
      </c>
    </row>
    <row r="2" spans="1:20" x14ac:dyDescent="0.3">
      <c r="A2" s="7" t="s">
        <v>14</v>
      </c>
      <c r="B2" s="20" t="str">
        <f ca="1">_xlfn.IFS(ROW(B2)=COLUMN(B2),"X",ROW(B2)&lt;=COLUMN(B2),INDEX($S$2:$S$5,RANDBETWEEN(1,4)),ROW(B2)&gt;=COLUMN(B2),"")</f>
        <v>X</v>
      </c>
      <c r="C2" s="20" t="str">
        <f t="shared" ref="C2:P16" ca="1" si="0">_xlfn.IFS(ROW(C2)=COLUMN(C2),"X",ROW(C2)&lt;=COLUMN(C2),INDEX($S$2:$S$5,RANDBETWEEN(1,4)),ROW(C2)&gt;=COLUMN(C2),"")</f>
        <v>V</v>
      </c>
      <c r="D2" s="20" t="str">
        <f t="shared" ca="1" si="0"/>
        <v>V</v>
      </c>
      <c r="E2" s="20" t="str">
        <f t="shared" ca="1" si="0"/>
        <v>V</v>
      </c>
      <c r="F2" s="20" t="str">
        <f t="shared" ca="1" si="0"/>
        <v>A</v>
      </c>
      <c r="G2" s="20" t="str">
        <f t="shared" ca="1" si="0"/>
        <v>A</v>
      </c>
      <c r="H2" s="20" t="str">
        <f t="shared" ca="1" si="0"/>
        <v>V</v>
      </c>
      <c r="I2" s="20" t="str">
        <f t="shared" ca="1" si="0"/>
        <v>X</v>
      </c>
      <c r="J2" s="20" t="str">
        <f t="shared" ca="1" si="0"/>
        <v>X</v>
      </c>
      <c r="K2" s="20" t="str">
        <f t="shared" ca="1" si="0"/>
        <v>O</v>
      </c>
      <c r="L2" s="20" t="str">
        <f t="shared" ca="1" si="0"/>
        <v>X</v>
      </c>
      <c r="M2" s="20" t="str">
        <f t="shared" ca="1" si="0"/>
        <v>V</v>
      </c>
      <c r="N2" s="20" t="str">
        <f t="shared" ca="1" si="0"/>
        <v>V</v>
      </c>
      <c r="O2" s="20" t="str">
        <f t="shared" ca="1" si="0"/>
        <v>X</v>
      </c>
      <c r="P2" s="20" t="str">
        <f t="shared" ca="1" si="0"/>
        <v>X</v>
      </c>
      <c r="R2" s="18">
        <v>1</v>
      </c>
      <c r="S2" t="s">
        <v>20</v>
      </c>
      <c r="T2" t="s">
        <v>100</v>
      </c>
    </row>
    <row r="3" spans="1:20" x14ac:dyDescent="0.3">
      <c r="A3" s="7" t="s">
        <v>13</v>
      </c>
      <c r="B3" s="20" t="str">
        <f t="shared" ref="B3:B16" ca="1" si="1">_xlfn.IFS(ROW(B3)=COLUMN(B3),"X",ROW(B3)&lt;=COLUMN(B3),INDEX($S$2:$S$5,RANDBETWEEN(1,4)),ROW(B3)&gt;=COLUMN(B3),"")</f>
        <v/>
      </c>
      <c r="C3" s="20" t="str">
        <f t="shared" ca="1" si="0"/>
        <v>X</v>
      </c>
      <c r="D3" s="20" t="str">
        <f t="shared" ca="1" si="0"/>
        <v>V</v>
      </c>
      <c r="E3" s="20" t="str">
        <f t="shared" ca="1" si="0"/>
        <v>O</v>
      </c>
      <c r="F3" s="20" t="str">
        <f t="shared" ca="1" si="0"/>
        <v>A</v>
      </c>
      <c r="G3" s="20" t="str">
        <f t="shared" ca="1" si="0"/>
        <v>O</v>
      </c>
      <c r="H3" s="20" t="str">
        <f t="shared" ca="1" si="0"/>
        <v>X</v>
      </c>
      <c r="I3" s="20" t="str">
        <f t="shared" ca="1" si="0"/>
        <v>A</v>
      </c>
      <c r="J3" s="20" t="str">
        <f t="shared" ca="1" si="0"/>
        <v>O</v>
      </c>
      <c r="K3" s="20" t="str">
        <f t="shared" ca="1" si="0"/>
        <v>X</v>
      </c>
      <c r="L3" s="20" t="str">
        <f t="shared" ca="1" si="0"/>
        <v>X</v>
      </c>
      <c r="M3" s="20" t="str">
        <f t="shared" ca="1" si="0"/>
        <v>O</v>
      </c>
      <c r="N3" s="20" t="str">
        <f t="shared" ca="1" si="0"/>
        <v>X</v>
      </c>
      <c r="O3" s="20" t="str">
        <f t="shared" ca="1" si="0"/>
        <v>X</v>
      </c>
      <c r="P3" s="20" t="str">
        <f t="shared" ca="1" si="0"/>
        <v>V</v>
      </c>
      <c r="R3" s="18">
        <v>2</v>
      </c>
      <c r="S3" t="s">
        <v>22</v>
      </c>
      <c r="T3" t="s">
        <v>101</v>
      </c>
    </row>
    <row r="4" spans="1:20" x14ac:dyDescent="0.3">
      <c r="A4" s="7" t="s">
        <v>12</v>
      </c>
      <c r="B4" s="20" t="str">
        <f t="shared" ca="1" si="1"/>
        <v/>
      </c>
      <c r="C4" s="20" t="str">
        <f t="shared" ca="1" si="0"/>
        <v/>
      </c>
      <c r="D4" s="20" t="str">
        <f t="shared" ca="1" si="0"/>
        <v>X</v>
      </c>
      <c r="E4" s="20" t="str">
        <f t="shared" ca="1" si="0"/>
        <v>A</v>
      </c>
      <c r="F4" s="20" t="str">
        <f t="shared" ca="1" si="0"/>
        <v>O</v>
      </c>
      <c r="G4" s="20" t="str">
        <f t="shared" ca="1" si="0"/>
        <v>X</v>
      </c>
      <c r="H4" s="20" t="str">
        <f t="shared" ca="1" si="0"/>
        <v>V</v>
      </c>
      <c r="I4" s="20" t="str">
        <f t="shared" ca="1" si="0"/>
        <v>A</v>
      </c>
      <c r="J4" s="20" t="str">
        <f t="shared" ca="1" si="0"/>
        <v>V</v>
      </c>
      <c r="K4" s="20" t="str">
        <f t="shared" ca="1" si="0"/>
        <v>X</v>
      </c>
      <c r="L4" s="20" t="str">
        <f t="shared" ca="1" si="0"/>
        <v>O</v>
      </c>
      <c r="M4" s="20" t="str">
        <f t="shared" ca="1" si="0"/>
        <v>X</v>
      </c>
      <c r="N4" s="20" t="str">
        <f t="shared" ca="1" si="0"/>
        <v>V</v>
      </c>
      <c r="O4" s="20" t="str">
        <f t="shared" ca="1" si="0"/>
        <v>O</v>
      </c>
      <c r="P4" s="20" t="str">
        <f t="shared" ca="1" si="0"/>
        <v>X</v>
      </c>
      <c r="R4" s="18">
        <v>3</v>
      </c>
      <c r="S4" t="s">
        <v>23</v>
      </c>
      <c r="T4" t="s">
        <v>102</v>
      </c>
    </row>
    <row r="5" spans="1:20" x14ac:dyDescent="0.3">
      <c r="A5" s="7" t="s">
        <v>11</v>
      </c>
      <c r="B5" s="20" t="str">
        <f t="shared" ca="1" si="1"/>
        <v/>
      </c>
      <c r="C5" s="20" t="str">
        <f t="shared" ca="1" si="0"/>
        <v/>
      </c>
      <c r="D5" s="20" t="str">
        <f t="shared" ca="1" si="0"/>
        <v/>
      </c>
      <c r="E5" s="20" t="str">
        <f t="shared" ca="1" si="0"/>
        <v>X</v>
      </c>
      <c r="F5" s="20" t="str">
        <f t="shared" ca="1" si="0"/>
        <v>A</v>
      </c>
      <c r="G5" s="20" t="str">
        <f t="shared" ca="1" si="0"/>
        <v>A</v>
      </c>
      <c r="H5" s="20" t="str">
        <f t="shared" ca="1" si="0"/>
        <v>V</v>
      </c>
      <c r="I5" s="20" t="str">
        <f t="shared" ca="1" si="0"/>
        <v>O</v>
      </c>
      <c r="J5" s="20" t="str">
        <f t="shared" ca="1" si="0"/>
        <v>O</v>
      </c>
      <c r="K5" s="20" t="str">
        <f t="shared" ca="1" si="0"/>
        <v>O</v>
      </c>
      <c r="L5" s="20" t="str">
        <f t="shared" ca="1" si="0"/>
        <v>X</v>
      </c>
      <c r="M5" s="20" t="str">
        <f t="shared" ca="1" si="0"/>
        <v>V</v>
      </c>
      <c r="N5" s="20" t="str">
        <f t="shared" ca="1" si="0"/>
        <v>V</v>
      </c>
      <c r="O5" s="20" t="str">
        <f t="shared" ca="1" si="0"/>
        <v>A</v>
      </c>
      <c r="P5" s="20" t="str">
        <f t="shared" ca="1" si="0"/>
        <v>X</v>
      </c>
      <c r="R5" s="18">
        <v>4</v>
      </c>
      <c r="S5" t="s">
        <v>21</v>
      </c>
      <c r="T5">
        <v>0</v>
      </c>
    </row>
    <row r="6" spans="1:20" x14ac:dyDescent="0.3">
      <c r="A6" s="7" t="s">
        <v>10</v>
      </c>
      <c r="B6" s="20" t="str">
        <f t="shared" ca="1" si="1"/>
        <v/>
      </c>
      <c r="C6" s="20" t="str">
        <f t="shared" ca="1" si="0"/>
        <v/>
      </c>
      <c r="D6" s="20" t="str">
        <f t="shared" ca="1" si="0"/>
        <v/>
      </c>
      <c r="E6" s="20" t="str">
        <f t="shared" ca="1" si="0"/>
        <v/>
      </c>
      <c r="F6" s="20" t="str">
        <f t="shared" ca="1" si="0"/>
        <v>X</v>
      </c>
      <c r="G6" s="20" t="str">
        <f t="shared" ca="1" si="0"/>
        <v>O</v>
      </c>
      <c r="H6" s="20" t="str">
        <f t="shared" ca="1" si="0"/>
        <v>O</v>
      </c>
      <c r="I6" s="20" t="str">
        <f t="shared" ca="1" si="0"/>
        <v>X</v>
      </c>
      <c r="J6" s="20" t="str">
        <f t="shared" ca="1" si="0"/>
        <v>A</v>
      </c>
      <c r="K6" s="20" t="str">
        <f t="shared" ca="1" si="0"/>
        <v>A</v>
      </c>
      <c r="L6" s="20" t="str">
        <f t="shared" ca="1" si="0"/>
        <v>V</v>
      </c>
      <c r="M6" s="20" t="str">
        <f t="shared" ca="1" si="0"/>
        <v>O</v>
      </c>
      <c r="N6" s="20" t="str">
        <f t="shared" ca="1" si="0"/>
        <v>X</v>
      </c>
      <c r="O6" s="20" t="str">
        <f t="shared" ca="1" si="0"/>
        <v>A</v>
      </c>
      <c r="P6" s="20" t="str">
        <f t="shared" ca="1" si="0"/>
        <v>X</v>
      </c>
    </row>
    <row r="7" spans="1:20" x14ac:dyDescent="0.3">
      <c r="A7" s="7" t="s">
        <v>9</v>
      </c>
      <c r="B7" s="20" t="str">
        <f t="shared" ca="1" si="1"/>
        <v/>
      </c>
      <c r="C7" s="20" t="str">
        <f t="shared" ca="1" si="0"/>
        <v/>
      </c>
      <c r="D7" s="20" t="str">
        <f t="shared" ca="1" si="0"/>
        <v/>
      </c>
      <c r="E7" s="20" t="str">
        <f t="shared" ca="1" si="0"/>
        <v/>
      </c>
      <c r="F7" s="20" t="str">
        <f t="shared" ca="1" si="0"/>
        <v/>
      </c>
      <c r="G7" s="20" t="str">
        <f t="shared" ca="1" si="0"/>
        <v>X</v>
      </c>
      <c r="H7" s="20" t="str">
        <f t="shared" ca="1" si="0"/>
        <v>O</v>
      </c>
      <c r="I7" s="20" t="str">
        <f t="shared" ca="1" si="0"/>
        <v>A</v>
      </c>
      <c r="J7" s="20" t="str">
        <f t="shared" ca="1" si="0"/>
        <v>V</v>
      </c>
      <c r="K7" s="20" t="str">
        <f t="shared" ca="1" si="0"/>
        <v>V</v>
      </c>
      <c r="L7" s="20" t="str">
        <f t="shared" ca="1" si="0"/>
        <v>X</v>
      </c>
      <c r="M7" s="20" t="str">
        <f t="shared" ca="1" si="0"/>
        <v>V</v>
      </c>
      <c r="N7" s="20" t="str">
        <f t="shared" ca="1" si="0"/>
        <v>A</v>
      </c>
      <c r="O7" s="20" t="str">
        <f t="shared" ca="1" si="0"/>
        <v>X</v>
      </c>
      <c r="P7" s="20" t="str">
        <f t="shared" ca="1" si="0"/>
        <v>A</v>
      </c>
    </row>
    <row r="8" spans="1:20" x14ac:dyDescent="0.3">
      <c r="A8" s="7" t="s">
        <v>8</v>
      </c>
      <c r="B8" s="20" t="str">
        <f t="shared" ca="1" si="1"/>
        <v/>
      </c>
      <c r="C8" s="20" t="str">
        <f t="shared" ca="1" si="0"/>
        <v/>
      </c>
      <c r="D8" s="20" t="str">
        <f t="shared" ca="1" si="0"/>
        <v/>
      </c>
      <c r="E8" s="20" t="str">
        <f t="shared" ca="1" si="0"/>
        <v/>
      </c>
      <c r="F8" s="20" t="str">
        <f t="shared" ca="1" si="0"/>
        <v/>
      </c>
      <c r="G8" s="20" t="str">
        <f t="shared" ca="1" si="0"/>
        <v/>
      </c>
      <c r="H8" s="20" t="str">
        <f t="shared" ca="1" si="0"/>
        <v>X</v>
      </c>
      <c r="I8" s="20" t="str">
        <f t="shared" ca="1" si="0"/>
        <v>A</v>
      </c>
      <c r="J8" s="20" t="str">
        <f t="shared" ca="1" si="0"/>
        <v>X</v>
      </c>
      <c r="K8" s="20" t="str">
        <f t="shared" ca="1" si="0"/>
        <v>V</v>
      </c>
      <c r="L8" s="20" t="str">
        <f t="shared" ca="1" si="0"/>
        <v>V</v>
      </c>
      <c r="M8" s="20" t="str">
        <f t="shared" ca="1" si="0"/>
        <v>A</v>
      </c>
      <c r="N8" s="20" t="str">
        <f t="shared" ca="1" si="0"/>
        <v>V</v>
      </c>
      <c r="O8" s="20" t="str">
        <f t="shared" ca="1" si="0"/>
        <v>X</v>
      </c>
      <c r="P8" s="20" t="str">
        <f t="shared" ca="1" si="0"/>
        <v>O</v>
      </c>
    </row>
    <row r="9" spans="1:20" x14ac:dyDescent="0.3">
      <c r="A9" s="7" t="s">
        <v>7</v>
      </c>
      <c r="B9" s="20" t="str">
        <f t="shared" ca="1" si="1"/>
        <v/>
      </c>
      <c r="C9" s="20" t="str">
        <f t="shared" ca="1" si="0"/>
        <v/>
      </c>
      <c r="D9" s="20" t="str">
        <f t="shared" ca="1" si="0"/>
        <v/>
      </c>
      <c r="E9" s="20" t="str">
        <f t="shared" ca="1" si="0"/>
        <v/>
      </c>
      <c r="F9" s="20" t="str">
        <f t="shared" ca="1" si="0"/>
        <v/>
      </c>
      <c r="G9" s="20" t="str">
        <f t="shared" ca="1" si="0"/>
        <v/>
      </c>
      <c r="H9" s="20" t="str">
        <f t="shared" ca="1" si="0"/>
        <v/>
      </c>
      <c r="I9" s="20" t="str">
        <f t="shared" ca="1" si="0"/>
        <v>X</v>
      </c>
      <c r="J9" s="20" t="str">
        <f t="shared" ca="1" si="0"/>
        <v>V</v>
      </c>
      <c r="K9" s="20" t="str">
        <f t="shared" ca="1" si="0"/>
        <v>O</v>
      </c>
      <c r="L9" s="20" t="str">
        <f t="shared" ca="1" si="0"/>
        <v>A</v>
      </c>
      <c r="M9" s="20" t="str">
        <f t="shared" ca="1" si="0"/>
        <v>A</v>
      </c>
      <c r="N9" s="20" t="str">
        <f t="shared" ca="1" si="0"/>
        <v>V</v>
      </c>
      <c r="O9" s="20" t="str">
        <f t="shared" ca="1" si="0"/>
        <v>V</v>
      </c>
      <c r="P9" s="20" t="str">
        <f t="shared" ca="1" si="0"/>
        <v>O</v>
      </c>
    </row>
    <row r="10" spans="1:20" x14ac:dyDescent="0.3">
      <c r="A10" s="7" t="s">
        <v>6</v>
      </c>
      <c r="B10" s="20" t="str">
        <f t="shared" ca="1" si="1"/>
        <v/>
      </c>
      <c r="C10" s="20" t="str">
        <f t="shared" ca="1" si="0"/>
        <v/>
      </c>
      <c r="D10" s="20" t="str">
        <f t="shared" ca="1" si="0"/>
        <v/>
      </c>
      <c r="E10" s="20" t="str">
        <f t="shared" ca="1" si="0"/>
        <v/>
      </c>
      <c r="F10" s="20" t="str">
        <f t="shared" ca="1" si="0"/>
        <v/>
      </c>
      <c r="G10" s="20" t="str">
        <f t="shared" ca="1" si="0"/>
        <v/>
      </c>
      <c r="H10" s="20" t="str">
        <f t="shared" ca="1" si="0"/>
        <v/>
      </c>
      <c r="I10" s="20" t="str">
        <f t="shared" ca="1" si="0"/>
        <v/>
      </c>
      <c r="J10" s="20" t="str">
        <f t="shared" ca="1" si="0"/>
        <v>X</v>
      </c>
      <c r="K10" s="20" t="str">
        <f t="shared" ca="1" si="0"/>
        <v>X</v>
      </c>
      <c r="L10" s="20" t="str">
        <f t="shared" ca="1" si="0"/>
        <v>V</v>
      </c>
      <c r="M10" s="20" t="str">
        <f t="shared" ca="1" si="0"/>
        <v>O</v>
      </c>
      <c r="N10" s="20" t="str">
        <f t="shared" ca="1" si="0"/>
        <v>X</v>
      </c>
      <c r="O10" s="20" t="str">
        <f t="shared" ca="1" si="0"/>
        <v>A</v>
      </c>
      <c r="P10" s="20" t="str">
        <f t="shared" ca="1" si="0"/>
        <v>A</v>
      </c>
    </row>
    <row r="11" spans="1:20" x14ac:dyDescent="0.3">
      <c r="A11" s="7" t="s">
        <v>5</v>
      </c>
      <c r="B11" s="20" t="str">
        <f t="shared" ca="1" si="1"/>
        <v/>
      </c>
      <c r="C11" s="20" t="str">
        <f t="shared" ca="1" si="0"/>
        <v/>
      </c>
      <c r="D11" s="20" t="str">
        <f t="shared" ca="1" si="0"/>
        <v/>
      </c>
      <c r="E11" s="20" t="str">
        <f t="shared" ca="1" si="0"/>
        <v/>
      </c>
      <c r="F11" s="20" t="str">
        <f t="shared" ca="1" si="0"/>
        <v/>
      </c>
      <c r="G11" s="20" t="str">
        <f t="shared" ca="1" si="0"/>
        <v/>
      </c>
      <c r="H11" s="20" t="str">
        <f t="shared" ca="1" si="0"/>
        <v/>
      </c>
      <c r="I11" s="20" t="str">
        <f t="shared" ca="1" si="0"/>
        <v/>
      </c>
      <c r="J11" s="20" t="str">
        <f t="shared" ca="1" si="0"/>
        <v/>
      </c>
      <c r="K11" s="20" t="str">
        <f t="shared" ca="1" si="0"/>
        <v>X</v>
      </c>
      <c r="L11" s="20" t="str">
        <f t="shared" ca="1" si="0"/>
        <v>O</v>
      </c>
      <c r="M11" s="20" t="str">
        <f t="shared" ca="1" si="0"/>
        <v>X</v>
      </c>
      <c r="N11" s="20" t="str">
        <f t="shared" ca="1" si="0"/>
        <v>O</v>
      </c>
      <c r="O11" s="20" t="str">
        <f t="shared" ca="1" si="0"/>
        <v>A</v>
      </c>
      <c r="P11" s="20" t="str">
        <f t="shared" ca="1" si="0"/>
        <v>V</v>
      </c>
    </row>
    <row r="12" spans="1:20" x14ac:dyDescent="0.3">
      <c r="A12" s="7" t="s">
        <v>4</v>
      </c>
      <c r="B12" s="20" t="str">
        <f t="shared" ca="1" si="1"/>
        <v/>
      </c>
      <c r="C12" s="20" t="str">
        <f t="shared" ca="1" si="0"/>
        <v/>
      </c>
      <c r="D12" s="20" t="str">
        <f t="shared" ca="1" si="0"/>
        <v/>
      </c>
      <c r="E12" s="20" t="str">
        <f t="shared" ca="1" si="0"/>
        <v/>
      </c>
      <c r="F12" s="20" t="str">
        <f t="shared" ca="1" si="0"/>
        <v/>
      </c>
      <c r="G12" s="20" t="str">
        <f t="shared" ca="1" si="0"/>
        <v/>
      </c>
      <c r="H12" s="20" t="str">
        <f t="shared" ca="1" si="0"/>
        <v/>
      </c>
      <c r="I12" s="20" t="str">
        <f t="shared" ca="1" si="0"/>
        <v/>
      </c>
      <c r="J12" s="20" t="str">
        <f t="shared" ca="1" si="0"/>
        <v/>
      </c>
      <c r="K12" s="20" t="str">
        <f t="shared" ca="1" si="0"/>
        <v/>
      </c>
      <c r="L12" s="20" t="str">
        <f t="shared" ca="1" si="0"/>
        <v>X</v>
      </c>
      <c r="M12" s="20" t="str">
        <f t="shared" ca="1" si="0"/>
        <v>A</v>
      </c>
      <c r="N12" s="20" t="str">
        <f t="shared" ca="1" si="0"/>
        <v>X</v>
      </c>
      <c r="O12" s="20" t="str">
        <f t="shared" ca="1" si="0"/>
        <v>A</v>
      </c>
      <c r="P12" s="20" t="str">
        <f t="shared" ca="1" si="0"/>
        <v>X</v>
      </c>
    </row>
    <row r="13" spans="1:20" x14ac:dyDescent="0.3">
      <c r="A13" s="7" t="s">
        <v>3</v>
      </c>
      <c r="B13" s="20" t="str">
        <f t="shared" ca="1" si="1"/>
        <v/>
      </c>
      <c r="C13" s="20" t="str">
        <f t="shared" ca="1" si="0"/>
        <v/>
      </c>
      <c r="D13" s="20" t="str">
        <f t="shared" ca="1" si="0"/>
        <v/>
      </c>
      <c r="E13" s="20" t="str">
        <f t="shared" ca="1" si="0"/>
        <v/>
      </c>
      <c r="F13" s="20" t="str">
        <f t="shared" ca="1" si="0"/>
        <v/>
      </c>
      <c r="G13" s="20" t="str">
        <f t="shared" ca="1" si="0"/>
        <v/>
      </c>
      <c r="H13" s="20" t="str">
        <f t="shared" ca="1" si="0"/>
        <v/>
      </c>
      <c r="I13" s="20" t="str">
        <f t="shared" ca="1" si="0"/>
        <v/>
      </c>
      <c r="J13" s="20" t="str">
        <f t="shared" ca="1" si="0"/>
        <v/>
      </c>
      <c r="K13" s="20" t="str">
        <f t="shared" ca="1" si="0"/>
        <v/>
      </c>
      <c r="L13" s="20" t="str">
        <f t="shared" ca="1" si="0"/>
        <v/>
      </c>
      <c r="M13" s="20" t="str">
        <f t="shared" ca="1" si="0"/>
        <v>X</v>
      </c>
      <c r="N13" s="20" t="str">
        <f t="shared" ca="1" si="0"/>
        <v>A</v>
      </c>
      <c r="O13" s="20" t="str">
        <f t="shared" ca="1" si="0"/>
        <v>O</v>
      </c>
      <c r="P13" s="20" t="str">
        <f t="shared" ca="1" si="0"/>
        <v>O</v>
      </c>
    </row>
    <row r="14" spans="1:20" x14ac:dyDescent="0.3">
      <c r="A14" s="7" t="s">
        <v>2</v>
      </c>
      <c r="B14" s="20" t="str">
        <f t="shared" ca="1" si="1"/>
        <v/>
      </c>
      <c r="C14" s="20" t="str">
        <f t="shared" ca="1" si="0"/>
        <v/>
      </c>
      <c r="D14" s="20" t="str">
        <f t="shared" ca="1" si="0"/>
        <v/>
      </c>
      <c r="E14" s="20" t="str">
        <f t="shared" ca="1" si="0"/>
        <v/>
      </c>
      <c r="F14" s="20" t="str">
        <f t="shared" ca="1" si="0"/>
        <v/>
      </c>
      <c r="G14" s="20" t="str">
        <f t="shared" ca="1" si="0"/>
        <v/>
      </c>
      <c r="H14" s="20" t="str">
        <f t="shared" ca="1" si="0"/>
        <v/>
      </c>
      <c r="I14" s="20" t="str">
        <f t="shared" ca="1" si="0"/>
        <v/>
      </c>
      <c r="J14" s="20" t="str">
        <f t="shared" ca="1" si="0"/>
        <v/>
      </c>
      <c r="K14" s="20" t="str">
        <f t="shared" ca="1" si="0"/>
        <v/>
      </c>
      <c r="L14" s="20" t="str">
        <f t="shared" ca="1" si="0"/>
        <v/>
      </c>
      <c r="M14" s="20" t="str">
        <f t="shared" ca="1" si="0"/>
        <v/>
      </c>
      <c r="N14" s="20" t="str">
        <f t="shared" ca="1" si="0"/>
        <v>X</v>
      </c>
      <c r="O14" s="20" t="str">
        <f t="shared" ca="1" si="0"/>
        <v>X</v>
      </c>
      <c r="P14" s="20" t="str">
        <f t="shared" ca="1" si="0"/>
        <v>A</v>
      </c>
    </row>
    <row r="15" spans="1:20" x14ac:dyDescent="0.3">
      <c r="A15" s="7" t="s">
        <v>1</v>
      </c>
      <c r="B15" s="20" t="str">
        <f t="shared" ca="1" si="1"/>
        <v/>
      </c>
      <c r="C15" s="20" t="str">
        <f t="shared" ca="1" si="0"/>
        <v/>
      </c>
      <c r="D15" s="20" t="str">
        <f t="shared" ca="1" si="0"/>
        <v/>
      </c>
      <c r="E15" s="20" t="str">
        <f t="shared" ca="1" si="0"/>
        <v/>
      </c>
      <c r="F15" s="20" t="str">
        <f t="shared" ca="1" si="0"/>
        <v/>
      </c>
      <c r="G15" s="20" t="str">
        <f t="shared" ca="1" si="0"/>
        <v/>
      </c>
      <c r="H15" s="20" t="str">
        <f t="shared" ca="1" si="0"/>
        <v/>
      </c>
      <c r="I15" s="20" t="str">
        <f t="shared" ca="1" si="0"/>
        <v/>
      </c>
      <c r="J15" s="20" t="str">
        <f t="shared" ca="1" si="0"/>
        <v/>
      </c>
      <c r="K15" s="20" t="str">
        <f t="shared" ca="1" si="0"/>
        <v/>
      </c>
      <c r="L15" s="20" t="str">
        <f t="shared" ca="1" si="0"/>
        <v/>
      </c>
      <c r="M15" s="20" t="str">
        <f t="shared" ca="1" si="0"/>
        <v/>
      </c>
      <c r="N15" s="20" t="str">
        <f t="shared" ca="1" si="0"/>
        <v/>
      </c>
      <c r="O15" s="20" t="str">
        <f t="shared" ca="1" si="0"/>
        <v>X</v>
      </c>
      <c r="P15" s="20" t="str">
        <f t="shared" ca="1" si="0"/>
        <v>O</v>
      </c>
    </row>
    <row r="16" spans="1:20" x14ac:dyDescent="0.3">
      <c r="A16" s="7" t="s">
        <v>0</v>
      </c>
      <c r="B16" s="20" t="str">
        <f t="shared" ca="1" si="1"/>
        <v/>
      </c>
      <c r="C16" s="20" t="str">
        <f t="shared" ca="1" si="0"/>
        <v/>
      </c>
      <c r="D16" s="20" t="str">
        <f t="shared" ca="1" si="0"/>
        <v/>
      </c>
      <c r="E16" s="20" t="str">
        <f t="shared" ca="1" si="0"/>
        <v/>
      </c>
      <c r="F16" s="20" t="str">
        <f t="shared" ca="1" si="0"/>
        <v/>
      </c>
      <c r="G16" s="20" t="str">
        <f t="shared" ca="1" si="0"/>
        <v/>
      </c>
      <c r="H16" s="20" t="str">
        <f t="shared" ca="1" si="0"/>
        <v/>
      </c>
      <c r="I16" s="20" t="str">
        <f t="shared" ca="1" si="0"/>
        <v/>
      </c>
      <c r="J16" s="20" t="str">
        <f t="shared" ca="1" si="0"/>
        <v/>
      </c>
      <c r="K16" s="20" t="str">
        <f t="shared" ca="1" si="0"/>
        <v/>
      </c>
      <c r="L16" s="20" t="str">
        <f t="shared" ca="1" si="0"/>
        <v/>
      </c>
      <c r="M16" s="20" t="str">
        <f t="shared" ca="1" si="0"/>
        <v/>
      </c>
      <c r="N16" s="20" t="str">
        <f t="shared" ca="1" si="0"/>
        <v/>
      </c>
      <c r="O16" s="20" t="str">
        <f t="shared" ca="1" si="0"/>
        <v/>
      </c>
      <c r="P16" s="20" t="str">
        <f t="shared" ca="1" si="0"/>
        <v>X</v>
      </c>
    </row>
    <row r="18" spans="1:16" ht="27.6" x14ac:dyDescent="0.3">
      <c r="A18" s="6" t="s">
        <v>16</v>
      </c>
      <c r="B18" s="6">
        <v>1</v>
      </c>
      <c r="C18" s="6">
        <v>2</v>
      </c>
      <c r="D18" s="6">
        <v>3</v>
      </c>
      <c r="E18" s="6">
        <v>4</v>
      </c>
      <c r="F18" s="6">
        <v>5</v>
      </c>
      <c r="G18" s="6">
        <v>6</v>
      </c>
      <c r="H18" s="6">
        <v>7</v>
      </c>
      <c r="I18" s="6">
        <v>8</v>
      </c>
      <c r="J18" s="6">
        <v>9</v>
      </c>
      <c r="K18" s="6">
        <v>10</v>
      </c>
      <c r="L18" s="6">
        <v>11</v>
      </c>
      <c r="M18" s="6">
        <v>12</v>
      </c>
      <c r="N18" s="6">
        <v>13</v>
      </c>
      <c r="O18" s="6">
        <v>14</v>
      </c>
      <c r="P18" s="6">
        <v>15</v>
      </c>
    </row>
    <row r="19" spans="1:16" x14ac:dyDescent="0.3">
      <c r="A19" s="7" t="s">
        <v>14</v>
      </c>
      <c r="B19" s="20">
        <v>1</v>
      </c>
      <c r="C19" s="20">
        <v>0</v>
      </c>
      <c r="D19" s="20">
        <v>0</v>
      </c>
      <c r="E19" s="20">
        <v>0</v>
      </c>
      <c r="F19" s="20">
        <v>1</v>
      </c>
      <c r="G19" s="20">
        <v>1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</row>
    <row r="20" spans="1:16" x14ac:dyDescent="0.3">
      <c r="A20" s="7" t="s">
        <v>13</v>
      </c>
      <c r="B20" s="20">
        <v>0</v>
      </c>
      <c r="C20" s="20">
        <v>1</v>
      </c>
      <c r="D20" s="20">
        <v>0</v>
      </c>
      <c r="E20" s="20">
        <v>0</v>
      </c>
      <c r="F20" s="20">
        <v>0</v>
      </c>
      <c r="G20" s="20">
        <v>0</v>
      </c>
      <c r="H20" s="20">
        <v>1</v>
      </c>
      <c r="I20" s="20">
        <v>1</v>
      </c>
      <c r="J20" s="20">
        <v>1</v>
      </c>
      <c r="K20" s="20">
        <v>1</v>
      </c>
      <c r="L20" s="20">
        <v>0</v>
      </c>
      <c r="M20" s="20">
        <v>0</v>
      </c>
      <c r="N20" s="20">
        <v>0</v>
      </c>
      <c r="O20" s="20">
        <v>1</v>
      </c>
      <c r="P20" s="20">
        <v>0</v>
      </c>
    </row>
    <row r="21" spans="1:16" x14ac:dyDescent="0.3">
      <c r="A21" s="7" t="s">
        <v>12</v>
      </c>
      <c r="B21" s="20">
        <v>0</v>
      </c>
      <c r="C21" s="20">
        <v>0</v>
      </c>
      <c r="D21" s="20">
        <v>1</v>
      </c>
      <c r="E21" s="20">
        <v>0</v>
      </c>
      <c r="F21" s="20">
        <v>0</v>
      </c>
      <c r="G21" s="20">
        <v>1</v>
      </c>
      <c r="H21" s="20">
        <v>1</v>
      </c>
      <c r="I21" s="20">
        <v>1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</row>
    <row r="22" spans="1:16" x14ac:dyDescent="0.3">
      <c r="A22" s="7" t="s">
        <v>11</v>
      </c>
      <c r="B22" s="20">
        <v>0</v>
      </c>
      <c r="C22" s="20">
        <v>0</v>
      </c>
      <c r="D22" s="20">
        <v>1</v>
      </c>
      <c r="E22" s="20">
        <v>1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1</v>
      </c>
      <c r="L22" s="20">
        <v>0</v>
      </c>
      <c r="M22" s="20">
        <v>0</v>
      </c>
      <c r="N22" s="20">
        <v>1</v>
      </c>
      <c r="O22" s="20">
        <v>0</v>
      </c>
      <c r="P22" s="20">
        <v>0</v>
      </c>
    </row>
    <row r="23" spans="1:16" x14ac:dyDescent="0.3">
      <c r="A23" s="7" t="s">
        <v>10</v>
      </c>
      <c r="B23" s="20">
        <v>1</v>
      </c>
      <c r="C23" s="20">
        <v>1</v>
      </c>
      <c r="D23" s="20">
        <v>0</v>
      </c>
      <c r="E23" s="20">
        <v>1</v>
      </c>
      <c r="F23" s="20">
        <v>1</v>
      </c>
      <c r="G23" s="20">
        <v>0</v>
      </c>
      <c r="H23" s="20">
        <v>1</v>
      </c>
      <c r="I23" s="20">
        <v>0</v>
      </c>
      <c r="J23" s="20">
        <v>1</v>
      </c>
      <c r="K23" s="20">
        <v>0</v>
      </c>
      <c r="L23" s="20">
        <v>0</v>
      </c>
      <c r="M23" s="20">
        <v>0</v>
      </c>
      <c r="N23" s="20">
        <v>0</v>
      </c>
      <c r="O23" s="20">
        <v>1</v>
      </c>
      <c r="P23" s="20">
        <v>0</v>
      </c>
    </row>
    <row r="24" spans="1:16" x14ac:dyDescent="0.3">
      <c r="A24" s="7" t="s">
        <v>9</v>
      </c>
      <c r="B24" s="20">
        <v>1</v>
      </c>
      <c r="C24" s="20">
        <v>1</v>
      </c>
      <c r="D24" s="20">
        <v>1</v>
      </c>
      <c r="E24" s="20">
        <v>0</v>
      </c>
      <c r="F24" s="20">
        <v>0</v>
      </c>
      <c r="G24" s="20">
        <v>1</v>
      </c>
      <c r="H24" s="20">
        <v>0</v>
      </c>
      <c r="I24" s="20">
        <v>1</v>
      </c>
      <c r="J24" s="20">
        <v>0</v>
      </c>
      <c r="K24" s="20">
        <v>1</v>
      </c>
      <c r="L24" s="20">
        <v>1</v>
      </c>
      <c r="M24" s="20">
        <v>0</v>
      </c>
      <c r="N24" s="20">
        <v>1</v>
      </c>
      <c r="O24" s="20">
        <v>0</v>
      </c>
      <c r="P24" s="20">
        <v>1</v>
      </c>
    </row>
    <row r="25" spans="1:16" x14ac:dyDescent="0.3">
      <c r="A25" s="7" t="s">
        <v>8</v>
      </c>
      <c r="B25" s="20">
        <v>0</v>
      </c>
      <c r="C25" s="20">
        <v>1</v>
      </c>
      <c r="D25" s="20">
        <v>1</v>
      </c>
      <c r="E25" s="20">
        <v>0</v>
      </c>
      <c r="F25" s="20">
        <v>1</v>
      </c>
      <c r="G25" s="20">
        <v>0</v>
      </c>
      <c r="H25" s="20">
        <v>1</v>
      </c>
      <c r="I25" s="20">
        <v>1</v>
      </c>
      <c r="J25" s="20">
        <v>1</v>
      </c>
      <c r="K25" s="20">
        <v>0</v>
      </c>
      <c r="L25" s="20">
        <v>1</v>
      </c>
      <c r="M25" s="20">
        <v>1</v>
      </c>
      <c r="N25" s="20">
        <v>1</v>
      </c>
      <c r="O25" s="20">
        <v>0</v>
      </c>
      <c r="P25" s="20">
        <v>0</v>
      </c>
    </row>
    <row r="26" spans="1:16" x14ac:dyDescent="0.3">
      <c r="A26" s="7" t="s">
        <v>7</v>
      </c>
      <c r="B26" s="20">
        <v>0</v>
      </c>
      <c r="C26" s="20">
        <v>1</v>
      </c>
      <c r="D26" s="20">
        <v>1</v>
      </c>
      <c r="E26" s="20">
        <v>0</v>
      </c>
      <c r="F26" s="20">
        <v>0</v>
      </c>
      <c r="G26" s="20">
        <v>1</v>
      </c>
      <c r="H26" s="20">
        <v>1</v>
      </c>
      <c r="I26" s="20">
        <v>1</v>
      </c>
      <c r="J26" s="20">
        <v>0</v>
      </c>
      <c r="K26" s="20">
        <v>0</v>
      </c>
      <c r="L26" s="20">
        <v>1</v>
      </c>
      <c r="M26" s="20">
        <v>1</v>
      </c>
      <c r="N26" s="20">
        <v>1</v>
      </c>
      <c r="O26" s="20">
        <v>0</v>
      </c>
      <c r="P26" s="20">
        <v>1</v>
      </c>
    </row>
    <row r="27" spans="1:16" x14ac:dyDescent="0.3">
      <c r="A27" s="7" t="s">
        <v>6</v>
      </c>
      <c r="B27" s="20">
        <v>0</v>
      </c>
      <c r="C27" s="20">
        <v>1</v>
      </c>
      <c r="D27" s="20">
        <v>0</v>
      </c>
      <c r="E27" s="20">
        <v>0</v>
      </c>
      <c r="F27" s="20">
        <v>1</v>
      </c>
      <c r="G27" s="20">
        <v>0</v>
      </c>
      <c r="H27" s="20">
        <v>1</v>
      </c>
      <c r="I27" s="20">
        <v>1</v>
      </c>
      <c r="J27" s="20">
        <v>1</v>
      </c>
      <c r="K27" s="20">
        <v>0</v>
      </c>
      <c r="L27" s="20">
        <v>0</v>
      </c>
      <c r="M27" s="20">
        <v>0</v>
      </c>
      <c r="N27" s="20">
        <v>1</v>
      </c>
      <c r="O27" s="20">
        <v>1</v>
      </c>
      <c r="P27" s="20">
        <v>0</v>
      </c>
    </row>
    <row r="28" spans="1:16" x14ac:dyDescent="0.3">
      <c r="A28" s="7" t="s">
        <v>14</v>
      </c>
      <c r="B28" s="20">
        <v>0</v>
      </c>
      <c r="C28" s="20">
        <v>1</v>
      </c>
      <c r="D28" s="20">
        <v>1</v>
      </c>
      <c r="E28" s="20">
        <v>0</v>
      </c>
      <c r="F28" s="20">
        <v>0</v>
      </c>
      <c r="G28" s="20">
        <v>1</v>
      </c>
      <c r="H28" s="20">
        <v>0</v>
      </c>
      <c r="I28" s="20">
        <v>0</v>
      </c>
      <c r="J28" s="20">
        <v>0</v>
      </c>
      <c r="K28" s="20">
        <v>1</v>
      </c>
      <c r="L28" s="20">
        <v>1</v>
      </c>
      <c r="M28" s="20">
        <v>0</v>
      </c>
      <c r="N28" s="20">
        <v>0</v>
      </c>
      <c r="O28" s="20">
        <v>1</v>
      </c>
      <c r="P28" s="20">
        <v>0</v>
      </c>
    </row>
    <row r="29" spans="1:16" x14ac:dyDescent="0.3">
      <c r="A29" s="7" t="s">
        <v>14</v>
      </c>
      <c r="B29" s="20">
        <v>0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1</v>
      </c>
      <c r="I29" s="20">
        <v>1</v>
      </c>
      <c r="J29" s="20">
        <v>1</v>
      </c>
      <c r="K29" s="20">
        <v>1</v>
      </c>
      <c r="L29" s="20">
        <v>1</v>
      </c>
      <c r="M29" s="20">
        <v>1</v>
      </c>
      <c r="N29" s="20">
        <v>0</v>
      </c>
      <c r="O29" s="20">
        <v>1</v>
      </c>
      <c r="P29" s="20">
        <v>0</v>
      </c>
    </row>
    <row r="30" spans="1:16" x14ac:dyDescent="0.3">
      <c r="A30" s="7" t="s">
        <v>14</v>
      </c>
      <c r="B30" s="20">
        <v>1</v>
      </c>
      <c r="C30" s="20">
        <v>1</v>
      </c>
      <c r="D30" s="20">
        <v>1</v>
      </c>
      <c r="E30" s="20">
        <v>0</v>
      </c>
      <c r="F30" s="20">
        <v>0</v>
      </c>
      <c r="G30" s="20">
        <v>0</v>
      </c>
      <c r="H30" s="20">
        <v>1</v>
      </c>
      <c r="I30" s="20">
        <v>1</v>
      </c>
      <c r="J30" s="20">
        <v>0</v>
      </c>
      <c r="K30" s="20">
        <v>0</v>
      </c>
      <c r="L30" s="20">
        <v>1</v>
      </c>
      <c r="M30" s="20">
        <v>1</v>
      </c>
      <c r="N30" s="20">
        <v>0</v>
      </c>
      <c r="O30" s="20">
        <v>1</v>
      </c>
      <c r="P30" s="20">
        <v>1</v>
      </c>
    </row>
    <row r="31" spans="1:16" x14ac:dyDescent="0.3">
      <c r="A31" s="7" t="s">
        <v>14</v>
      </c>
      <c r="B31" s="20">
        <v>0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1</v>
      </c>
      <c r="I31" s="20">
        <v>1</v>
      </c>
      <c r="J31" s="20">
        <v>1</v>
      </c>
      <c r="K31" s="20">
        <v>0</v>
      </c>
      <c r="L31" s="20">
        <v>0</v>
      </c>
      <c r="M31" s="20">
        <v>0</v>
      </c>
      <c r="N31" s="20">
        <v>1</v>
      </c>
      <c r="O31" s="20">
        <v>1</v>
      </c>
      <c r="P31" s="20">
        <v>0</v>
      </c>
    </row>
    <row r="32" spans="1:16" x14ac:dyDescent="0.3">
      <c r="A32" s="7" t="s">
        <v>14</v>
      </c>
      <c r="B32" s="20">
        <v>0</v>
      </c>
      <c r="C32" s="20">
        <v>1</v>
      </c>
      <c r="D32" s="20">
        <v>0</v>
      </c>
      <c r="E32" s="20">
        <v>1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1</v>
      </c>
      <c r="L32" s="20">
        <v>0</v>
      </c>
      <c r="M32" s="20">
        <v>1</v>
      </c>
      <c r="N32" s="20">
        <v>1</v>
      </c>
      <c r="O32" s="20">
        <v>1</v>
      </c>
      <c r="P32" s="20">
        <v>0</v>
      </c>
    </row>
    <row r="33" spans="1:16" x14ac:dyDescent="0.3">
      <c r="A33" s="7" t="s">
        <v>14</v>
      </c>
      <c r="B33" s="20">
        <v>1</v>
      </c>
      <c r="C33" s="20">
        <v>1</v>
      </c>
      <c r="D33" s="20">
        <v>0</v>
      </c>
      <c r="E33" s="20">
        <v>0</v>
      </c>
      <c r="F33" s="20">
        <v>0</v>
      </c>
      <c r="G33" s="20">
        <v>1</v>
      </c>
      <c r="H33" s="20">
        <v>0</v>
      </c>
      <c r="I33" s="20">
        <v>1</v>
      </c>
      <c r="J33" s="20">
        <v>0</v>
      </c>
      <c r="K33" s="20">
        <v>0</v>
      </c>
      <c r="L33" s="20">
        <v>0</v>
      </c>
      <c r="M33" s="20">
        <v>1</v>
      </c>
      <c r="N33" s="20">
        <v>0</v>
      </c>
      <c r="O33" s="20">
        <v>0</v>
      </c>
      <c r="P33" s="20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55024-957C-4C40-A83B-EDE4D3DE0A7B}">
  <sheetPr codeName="Sheet7"/>
  <dimension ref="A1:R33"/>
  <sheetViews>
    <sheetView zoomScale="85" zoomScaleNormal="85" workbookViewId="0">
      <selection activeCell="K17" sqref="K17"/>
    </sheetView>
  </sheetViews>
  <sheetFormatPr defaultRowHeight="14.4" x14ac:dyDescent="0.3"/>
  <cols>
    <col min="6" max="6" width="17.6640625" bestFit="1" customWidth="1"/>
    <col min="17" max="17" width="11.44140625" bestFit="1" customWidth="1"/>
  </cols>
  <sheetData>
    <row r="1" spans="1:18" x14ac:dyDescent="0.3">
      <c r="B1" t="s">
        <v>90</v>
      </c>
      <c r="C1" t="s">
        <v>90</v>
      </c>
      <c r="D1" t="s">
        <v>90</v>
      </c>
      <c r="E1" t="s">
        <v>90</v>
      </c>
    </row>
    <row r="2" spans="1:18" x14ac:dyDescent="0.3">
      <c r="A2" t="s">
        <v>104</v>
      </c>
      <c r="B2">
        <v>0.25</v>
      </c>
      <c r="C2">
        <v>0.25</v>
      </c>
      <c r="D2">
        <v>0.25</v>
      </c>
      <c r="E2">
        <v>0.25</v>
      </c>
      <c r="P2" t="s">
        <v>94</v>
      </c>
      <c r="Q2" t="s">
        <v>90</v>
      </c>
      <c r="R2">
        <f>[1]!SPFDEF(Q2)</f>
        <v>2.8899999999999997</v>
      </c>
    </row>
    <row r="3" spans="1:18" x14ac:dyDescent="0.3">
      <c r="A3" s="4"/>
      <c r="B3" s="4" t="s">
        <v>14</v>
      </c>
      <c r="C3" s="4" t="s">
        <v>13</v>
      </c>
      <c r="D3" s="4" t="s">
        <v>12</v>
      </c>
      <c r="E3" s="4" t="s">
        <v>11</v>
      </c>
      <c r="F3" s="4" t="s">
        <v>10</v>
      </c>
      <c r="P3" t="s">
        <v>95</v>
      </c>
      <c r="Q3" t="s">
        <v>91</v>
      </c>
      <c r="R3">
        <f>[1]!SPFDEF(Q3)</f>
        <v>1.2099999999999997</v>
      </c>
    </row>
    <row r="4" spans="1:18" x14ac:dyDescent="0.3">
      <c r="A4" s="4" t="s">
        <v>14</v>
      </c>
      <c r="B4" s="4" t="s">
        <v>90</v>
      </c>
      <c r="C4" s="4" t="s">
        <v>105</v>
      </c>
      <c r="D4" s="4" t="s">
        <v>106</v>
      </c>
      <c r="E4" s="4" t="s">
        <v>107</v>
      </c>
      <c r="F4" s="4" t="s">
        <v>108</v>
      </c>
      <c r="P4" t="s">
        <v>96</v>
      </c>
      <c r="Q4" t="s">
        <v>92</v>
      </c>
      <c r="R4">
        <f>[1]!SPFDEF(Q4)</f>
        <v>0.25</v>
      </c>
    </row>
    <row r="5" spans="1:18" x14ac:dyDescent="0.3">
      <c r="A5" s="4" t="s">
        <v>13</v>
      </c>
      <c r="B5" s="4" t="s">
        <v>109</v>
      </c>
      <c r="C5" s="4" t="s">
        <v>90</v>
      </c>
      <c r="D5" s="4" t="s">
        <v>110</v>
      </c>
      <c r="E5" s="4" t="s">
        <v>111</v>
      </c>
      <c r="F5" s="4" t="s">
        <v>112</v>
      </c>
      <c r="P5" t="s">
        <v>97</v>
      </c>
      <c r="Q5" t="s">
        <v>93</v>
      </c>
      <c r="R5">
        <f>[1]!SPFDEF(Q5)</f>
        <v>-6.9999999999999979E-2</v>
      </c>
    </row>
    <row r="6" spans="1:18" x14ac:dyDescent="0.3">
      <c r="A6" s="4" t="s">
        <v>12</v>
      </c>
      <c r="B6" s="4" t="s">
        <v>113</v>
      </c>
      <c r="C6" s="4" t="s">
        <v>110</v>
      </c>
      <c r="D6" s="4" t="s">
        <v>90</v>
      </c>
      <c r="E6" s="4" t="s">
        <v>114</v>
      </c>
      <c r="F6" s="4" t="s">
        <v>115</v>
      </c>
      <c r="P6" t="s">
        <v>98</v>
      </c>
      <c r="Q6" t="s">
        <v>99</v>
      </c>
      <c r="R6">
        <f>[1]!SPFDEF(Q6)</f>
        <v>-0.63000000000000012</v>
      </c>
    </row>
    <row r="7" spans="1:18" x14ac:dyDescent="0.3">
      <c r="A7" s="4" t="s">
        <v>11</v>
      </c>
      <c r="B7" s="4" t="s">
        <v>116</v>
      </c>
      <c r="C7" s="4" t="s">
        <v>117</v>
      </c>
      <c r="D7" s="4" t="s">
        <v>118</v>
      </c>
      <c r="E7" s="4" t="s">
        <v>90</v>
      </c>
      <c r="F7" s="4" t="s">
        <v>99</v>
      </c>
    </row>
    <row r="8" spans="1:18" x14ac:dyDescent="0.3">
      <c r="A8" s="4" t="s">
        <v>10</v>
      </c>
      <c r="B8" s="4" t="s">
        <v>119</v>
      </c>
      <c r="C8" s="4" t="s">
        <v>113</v>
      </c>
      <c r="D8" s="4" t="s">
        <v>120</v>
      </c>
      <c r="E8" s="4" t="s">
        <v>121</v>
      </c>
      <c r="F8" s="4" t="s">
        <v>90</v>
      </c>
    </row>
    <row r="10" spans="1:18" x14ac:dyDescent="0.3">
      <c r="A10" s="4"/>
      <c r="B10" s="4" t="s">
        <v>14</v>
      </c>
      <c r="C10" s="4" t="s">
        <v>13</v>
      </c>
      <c r="D10" s="4" t="s">
        <v>12</v>
      </c>
      <c r="E10" s="4" t="s">
        <v>11</v>
      </c>
      <c r="F10" s="4" t="s">
        <v>10</v>
      </c>
    </row>
    <row r="11" spans="1:18" x14ac:dyDescent="0.3">
      <c r="A11" s="4" t="s">
        <v>14</v>
      </c>
      <c r="B11" s="4">
        <f>[1]!SPFDEF(B4)</f>
        <v>2.8899999999999997</v>
      </c>
      <c r="C11" s="4">
        <f>[1]!SPFDEF(C4)</f>
        <v>1.2671200000000002</v>
      </c>
      <c r="D11" s="4">
        <f>[1]!SPFDEF(D4)</f>
        <v>0.95721599999999996</v>
      </c>
      <c r="E11" s="4">
        <f>[1]!SPFDEF(E4)</f>
        <v>0.12720000000000001</v>
      </c>
      <c r="F11" s="4">
        <f>[1]!SPFDEF(F4)</f>
        <v>0.29087299999999999</v>
      </c>
      <c r="G11" t="s">
        <v>122</v>
      </c>
      <c r="H11">
        <f>MAX($B$11:$F$15)</f>
        <v>2.8899999999999997</v>
      </c>
    </row>
    <row r="12" spans="1:18" x14ac:dyDescent="0.3">
      <c r="A12" s="4" t="s">
        <v>13</v>
      </c>
      <c r="B12" s="4">
        <f>[1]!SPFDEF(B5)</f>
        <v>0.12956400000000004</v>
      </c>
      <c r="C12" s="4">
        <f>[1]!SPFDEF(C5)</f>
        <v>2.8899999999999997</v>
      </c>
      <c r="D12" s="4">
        <f>[1]!SPFDEF(D5)</f>
        <v>1.8517890000000001</v>
      </c>
      <c r="E12" s="4">
        <f>[1]!SPFDEF(E5)</f>
        <v>0.94724500000000023</v>
      </c>
      <c r="F12" s="4">
        <f>[1]!SPFDEF(F5)</f>
        <v>1.8435960000000005</v>
      </c>
      <c r="G12" t="s">
        <v>123</v>
      </c>
      <c r="H12">
        <f>MIN($B$11:$F$15)</f>
        <v>-0.63000000000000012</v>
      </c>
    </row>
    <row r="13" spans="1:18" x14ac:dyDescent="0.3">
      <c r="A13" s="4" t="s">
        <v>12</v>
      </c>
      <c r="B13" s="4">
        <f>[1]!SPFDEF(B6)</f>
        <v>0.95579999999999998</v>
      </c>
      <c r="C13" s="4">
        <f>[1]!SPFDEF(C6)</f>
        <v>1.8517890000000001</v>
      </c>
      <c r="D13" s="4">
        <f>[1]!SPFDEF(D6)</f>
        <v>2.8899999999999997</v>
      </c>
      <c r="E13" s="4">
        <f>[1]!SPFDEF(E6)</f>
        <v>0.95564499999999986</v>
      </c>
      <c r="F13" s="4">
        <f>[1]!SPFDEF(F6)</f>
        <v>0.12744000000000003</v>
      </c>
      <c r="G13" t="s">
        <v>124</v>
      </c>
      <c r="H13">
        <f>AVERAGE(H11,H12)</f>
        <v>1.1299999999999999</v>
      </c>
    </row>
    <row r="14" spans="1:18" x14ac:dyDescent="0.3">
      <c r="A14" s="4" t="s">
        <v>11</v>
      </c>
      <c r="B14" s="4">
        <f>[1]!SPFDEF(B7)</f>
        <v>1.2690000000000001</v>
      </c>
      <c r="C14" s="4">
        <f>[1]!SPFDEF(C7)</f>
        <v>1.2198719999999998</v>
      </c>
      <c r="D14" s="4">
        <f>[1]!SPFDEF(D7)</f>
        <v>1.2197549999999997</v>
      </c>
      <c r="E14" s="4">
        <f>[1]!SPFDEF(E7)</f>
        <v>2.8899999999999997</v>
      </c>
      <c r="F14" s="4">
        <f>[1]!SPFDEF(F7)</f>
        <v>-0.63000000000000012</v>
      </c>
    </row>
    <row r="15" spans="1:18" x14ac:dyDescent="0.3">
      <c r="A15" s="4" t="s">
        <v>10</v>
      </c>
      <c r="B15" s="4">
        <f>[1]!SPFDEF(B8)</f>
        <v>0.95142099999999985</v>
      </c>
      <c r="C15" s="4">
        <f>[1]!SPFDEF(C8)</f>
        <v>0.95579999999999998</v>
      </c>
      <c r="D15" s="4">
        <f>[1]!SPFDEF(D8)</f>
        <v>1.7159040000000001</v>
      </c>
      <c r="E15" s="4">
        <f>[1]!SPFDEF(E8)</f>
        <v>0.59817600000000004</v>
      </c>
      <c r="F15" s="4">
        <f>[1]!SPFDEF(F8)</f>
        <v>2.8899999999999997</v>
      </c>
    </row>
    <row r="17" spans="1:6" x14ac:dyDescent="0.3">
      <c r="A17" s="4"/>
      <c r="B17" s="4" t="s">
        <v>14</v>
      </c>
      <c r="C17" s="4" t="s">
        <v>13</v>
      </c>
      <c r="D17" s="4" t="s">
        <v>12</v>
      </c>
      <c r="E17" s="4" t="s">
        <v>11</v>
      </c>
      <c r="F17" s="4" t="s">
        <v>10</v>
      </c>
    </row>
    <row r="18" spans="1:6" x14ac:dyDescent="0.3">
      <c r="A18" s="4" t="s">
        <v>14</v>
      </c>
      <c r="B18" s="4">
        <f>IF(B11&gt;$H$13,1,0)</f>
        <v>1</v>
      </c>
      <c r="C18" s="4">
        <f t="shared" ref="C18:F18" si="0">IF(C11&gt;$H$13,1,0)</f>
        <v>1</v>
      </c>
      <c r="D18" s="4">
        <f t="shared" si="0"/>
        <v>0</v>
      </c>
      <c r="E18" s="4">
        <f t="shared" si="0"/>
        <v>0</v>
      </c>
      <c r="F18" s="4">
        <f t="shared" si="0"/>
        <v>0</v>
      </c>
    </row>
    <row r="19" spans="1:6" x14ac:dyDescent="0.3">
      <c r="A19" s="4" t="s">
        <v>13</v>
      </c>
      <c r="B19" s="4">
        <f t="shared" ref="B19:F19" si="1">IF(B12&gt;$H$13,1,0)</f>
        <v>0</v>
      </c>
      <c r="C19" s="4">
        <f t="shared" si="1"/>
        <v>1</v>
      </c>
      <c r="D19" s="4">
        <f t="shared" si="1"/>
        <v>1</v>
      </c>
      <c r="E19" s="4">
        <f t="shared" si="1"/>
        <v>0</v>
      </c>
      <c r="F19" s="4">
        <f t="shared" si="1"/>
        <v>1</v>
      </c>
    </row>
    <row r="20" spans="1:6" x14ac:dyDescent="0.3">
      <c r="A20" s="4" t="s">
        <v>12</v>
      </c>
      <c r="B20" s="4">
        <f t="shared" ref="B20:F20" si="2">IF(B13&gt;$H$13,1,0)</f>
        <v>0</v>
      </c>
      <c r="C20" s="4">
        <f t="shared" si="2"/>
        <v>1</v>
      </c>
      <c r="D20" s="4">
        <f t="shared" si="2"/>
        <v>1</v>
      </c>
      <c r="E20" s="4">
        <f t="shared" si="2"/>
        <v>0</v>
      </c>
      <c r="F20" s="4">
        <f t="shared" si="2"/>
        <v>0</v>
      </c>
    </row>
    <row r="21" spans="1:6" x14ac:dyDescent="0.3">
      <c r="A21" s="4" t="s">
        <v>11</v>
      </c>
      <c r="B21" s="4">
        <f t="shared" ref="B21:F21" si="3">IF(B14&gt;$H$13,1,0)</f>
        <v>1</v>
      </c>
      <c r="C21" s="4">
        <f t="shared" si="3"/>
        <v>1</v>
      </c>
      <c r="D21" s="4">
        <f t="shared" si="3"/>
        <v>1</v>
      </c>
      <c r="E21" s="4">
        <f t="shared" si="3"/>
        <v>1</v>
      </c>
      <c r="F21" s="4">
        <f t="shared" si="3"/>
        <v>0</v>
      </c>
    </row>
    <row r="22" spans="1:6" x14ac:dyDescent="0.3">
      <c r="A22" s="4" t="s">
        <v>10</v>
      </c>
      <c r="B22" s="4">
        <f t="shared" ref="B22:F22" si="4">IF(B15&gt;$H$13,1,0)</f>
        <v>0</v>
      </c>
      <c r="C22" s="4">
        <f t="shared" si="4"/>
        <v>0</v>
      </c>
      <c r="D22" s="4">
        <f t="shared" si="4"/>
        <v>1</v>
      </c>
      <c r="E22" s="4">
        <f t="shared" si="4"/>
        <v>0</v>
      </c>
      <c r="F22" s="4">
        <f t="shared" si="4"/>
        <v>1</v>
      </c>
    </row>
    <row r="24" spans="1:6" x14ac:dyDescent="0.3">
      <c r="A24" s="4"/>
      <c r="B24" s="4" t="s">
        <v>14</v>
      </c>
      <c r="C24" s="4" t="s">
        <v>13</v>
      </c>
      <c r="D24" s="4" t="s">
        <v>12</v>
      </c>
      <c r="E24" s="4" t="s">
        <v>11</v>
      </c>
      <c r="F24" s="4" t="s">
        <v>10</v>
      </c>
    </row>
    <row r="25" spans="1:6" x14ac:dyDescent="0.3">
      <c r="A25" s="4" t="s">
        <v>14</v>
      </c>
      <c r="B25" s="4">
        <v>1</v>
      </c>
      <c r="C25" s="4">
        <v>1</v>
      </c>
      <c r="D25" s="4">
        <v>1</v>
      </c>
      <c r="E25" s="4">
        <v>0</v>
      </c>
      <c r="F25" s="4">
        <v>1</v>
      </c>
    </row>
    <row r="26" spans="1:6" x14ac:dyDescent="0.3">
      <c r="A26" s="4" t="s">
        <v>13</v>
      </c>
      <c r="B26" s="4">
        <v>0</v>
      </c>
      <c r="C26" s="4">
        <v>1</v>
      </c>
      <c r="D26" s="4">
        <v>1</v>
      </c>
      <c r="E26" s="4">
        <v>0</v>
      </c>
      <c r="F26" s="4">
        <v>1</v>
      </c>
    </row>
    <row r="27" spans="1:6" x14ac:dyDescent="0.3">
      <c r="A27" s="4" t="s">
        <v>12</v>
      </c>
      <c r="B27" s="4">
        <v>0</v>
      </c>
      <c r="C27" s="4">
        <v>1</v>
      </c>
      <c r="D27" s="4">
        <v>1</v>
      </c>
      <c r="E27" s="4">
        <v>0</v>
      </c>
      <c r="F27" s="4">
        <v>1</v>
      </c>
    </row>
    <row r="28" spans="1:6" x14ac:dyDescent="0.3">
      <c r="A28" s="4" t="s">
        <v>11</v>
      </c>
      <c r="B28" s="4">
        <v>1</v>
      </c>
      <c r="C28" s="4">
        <v>1</v>
      </c>
      <c r="D28" s="4">
        <v>1</v>
      </c>
      <c r="E28" s="4">
        <v>1</v>
      </c>
      <c r="F28" s="4">
        <v>1</v>
      </c>
    </row>
    <row r="29" spans="1:6" x14ac:dyDescent="0.3">
      <c r="A29" s="4" t="s">
        <v>10</v>
      </c>
      <c r="B29" s="4">
        <v>0</v>
      </c>
      <c r="C29" s="4">
        <v>1</v>
      </c>
      <c r="D29" s="4">
        <v>1</v>
      </c>
      <c r="E29" s="4">
        <v>0</v>
      </c>
      <c r="F29" s="4">
        <v>1</v>
      </c>
    </row>
    <row r="32" spans="1:6" x14ac:dyDescent="0.3">
      <c r="A32" s="4">
        <v>1</v>
      </c>
      <c r="B32" s="4" t="s">
        <v>125</v>
      </c>
    </row>
    <row r="33" spans="1:2" x14ac:dyDescent="0.3">
      <c r="A33" s="4">
        <v>2</v>
      </c>
      <c r="B33" s="4" t="s">
        <v>126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5DF0B-5474-43C4-A2B9-22882CCFF31E}">
  <sheetPr codeName="Sheet8"/>
  <dimension ref="A1:T20"/>
  <sheetViews>
    <sheetView workbookViewId="0">
      <selection activeCell="K19" sqref="K19"/>
    </sheetView>
  </sheetViews>
  <sheetFormatPr defaultRowHeight="14.4" x14ac:dyDescent="0.3"/>
  <sheetData>
    <row r="1" spans="1:20" x14ac:dyDescent="0.3">
      <c r="A1" s="4"/>
      <c r="B1" s="4" t="s">
        <v>14</v>
      </c>
      <c r="C1" s="4" t="s">
        <v>13</v>
      </c>
      <c r="D1" s="4" t="s">
        <v>12</v>
      </c>
      <c r="E1" s="4" t="s">
        <v>11</v>
      </c>
      <c r="F1" s="4" t="s">
        <v>10</v>
      </c>
      <c r="H1" s="4"/>
      <c r="I1" s="4" t="s">
        <v>14</v>
      </c>
      <c r="J1" s="4" t="s">
        <v>13</v>
      </c>
      <c r="K1" s="4" t="s">
        <v>12</v>
      </c>
      <c r="L1" s="4" t="s">
        <v>11</v>
      </c>
      <c r="M1" s="4" t="s">
        <v>10</v>
      </c>
    </row>
    <row r="2" spans="1:20" x14ac:dyDescent="0.3">
      <c r="A2" s="4" t="s">
        <v>14</v>
      </c>
      <c r="B2" s="4" t="s">
        <v>23</v>
      </c>
      <c r="C2" s="4" t="s">
        <v>21</v>
      </c>
      <c r="D2" s="4" t="s">
        <v>23</v>
      </c>
      <c r="E2" s="4" t="s">
        <v>21</v>
      </c>
      <c r="F2" s="4" t="s">
        <v>20</v>
      </c>
      <c r="H2" s="4" t="s">
        <v>14</v>
      </c>
      <c r="I2" s="4" t="s">
        <v>94</v>
      </c>
      <c r="J2" s="4" t="s">
        <v>98</v>
      </c>
      <c r="K2" s="4" t="s">
        <v>94</v>
      </c>
      <c r="L2" s="4" t="s">
        <v>98</v>
      </c>
      <c r="M2" s="4" t="s">
        <v>96</v>
      </c>
      <c r="R2" s="18">
        <v>1</v>
      </c>
      <c r="S2" t="s">
        <v>20</v>
      </c>
      <c r="T2" t="s">
        <v>100</v>
      </c>
    </row>
    <row r="3" spans="1:20" x14ac:dyDescent="0.3">
      <c r="A3" s="4" t="s">
        <v>13</v>
      </c>
      <c r="B3" s="4" t="s">
        <v>103</v>
      </c>
      <c r="C3" s="4" t="s">
        <v>23</v>
      </c>
      <c r="D3" s="4" t="s">
        <v>21</v>
      </c>
      <c r="E3" s="4" t="s">
        <v>23</v>
      </c>
      <c r="F3" s="4" t="s">
        <v>23</v>
      </c>
      <c r="H3" s="4" t="s">
        <v>13</v>
      </c>
      <c r="I3" s="4" t="s">
        <v>103</v>
      </c>
      <c r="J3" s="4" t="s">
        <v>94</v>
      </c>
      <c r="K3" s="4" t="s">
        <v>98</v>
      </c>
      <c r="L3" s="4" t="s">
        <v>94</v>
      </c>
      <c r="M3" s="4" t="s">
        <v>94</v>
      </c>
      <c r="R3" s="18">
        <v>2</v>
      </c>
      <c r="S3" t="s">
        <v>22</v>
      </c>
      <c r="T3" t="s">
        <v>101</v>
      </c>
    </row>
    <row r="4" spans="1:20" x14ac:dyDescent="0.3">
      <c r="A4" s="4" t="s">
        <v>12</v>
      </c>
      <c r="B4" s="4" t="s">
        <v>103</v>
      </c>
      <c r="C4" s="4" t="s">
        <v>103</v>
      </c>
      <c r="D4" s="4" t="s">
        <v>23</v>
      </c>
      <c r="E4" s="4" t="s">
        <v>22</v>
      </c>
      <c r="F4" s="4" t="s">
        <v>22</v>
      </c>
      <c r="H4" s="4" t="s">
        <v>12</v>
      </c>
      <c r="I4" s="4" t="s">
        <v>103</v>
      </c>
      <c r="J4" s="4" t="s">
        <v>103</v>
      </c>
      <c r="K4" s="4" t="s">
        <v>94</v>
      </c>
      <c r="L4" s="4" t="s">
        <v>95</v>
      </c>
      <c r="M4" s="4" t="s">
        <v>94</v>
      </c>
      <c r="R4" s="18">
        <v>3</v>
      </c>
      <c r="S4" t="s">
        <v>23</v>
      </c>
      <c r="T4" t="s">
        <v>102</v>
      </c>
    </row>
    <row r="5" spans="1:20" x14ac:dyDescent="0.3">
      <c r="A5" s="4" t="s">
        <v>11</v>
      </c>
      <c r="B5" s="4" t="s">
        <v>103</v>
      </c>
      <c r="C5" s="4" t="s">
        <v>103</v>
      </c>
      <c r="D5" s="4" t="s">
        <v>103</v>
      </c>
      <c r="E5" s="4" t="s">
        <v>23</v>
      </c>
      <c r="F5" s="4" t="s">
        <v>21</v>
      </c>
      <c r="H5" s="4" t="s">
        <v>11</v>
      </c>
      <c r="I5" s="4" t="s">
        <v>103</v>
      </c>
      <c r="J5" s="4" t="s">
        <v>103</v>
      </c>
      <c r="K5" s="4" t="s">
        <v>103</v>
      </c>
      <c r="L5" s="4" t="s">
        <v>94</v>
      </c>
      <c r="M5" s="4" t="s">
        <v>98</v>
      </c>
      <c r="R5" s="18">
        <v>4</v>
      </c>
      <c r="S5" t="s">
        <v>21</v>
      </c>
      <c r="T5">
        <v>0</v>
      </c>
    </row>
    <row r="6" spans="1:20" x14ac:dyDescent="0.3">
      <c r="A6" s="4" t="s">
        <v>10</v>
      </c>
      <c r="B6" s="4" t="s">
        <v>103</v>
      </c>
      <c r="C6" s="4" t="s">
        <v>103</v>
      </c>
      <c r="D6" s="4" t="s">
        <v>103</v>
      </c>
      <c r="E6" s="4" t="s">
        <v>103</v>
      </c>
      <c r="F6" s="4" t="s">
        <v>23</v>
      </c>
      <c r="H6" s="4" t="s">
        <v>10</v>
      </c>
      <c r="I6" s="4" t="s">
        <v>103</v>
      </c>
      <c r="J6" s="4" t="s">
        <v>103</v>
      </c>
      <c r="K6" s="4" t="s">
        <v>103</v>
      </c>
      <c r="L6" s="4" t="s">
        <v>103</v>
      </c>
      <c r="M6" s="4" t="s">
        <v>94</v>
      </c>
    </row>
    <row r="8" spans="1:20" x14ac:dyDescent="0.3">
      <c r="A8" s="4"/>
      <c r="B8" s="4" t="s">
        <v>14</v>
      </c>
      <c r="C8" s="4" t="s">
        <v>13</v>
      </c>
      <c r="D8" s="4" t="s">
        <v>12</v>
      </c>
      <c r="E8" s="4" t="s">
        <v>11</v>
      </c>
      <c r="F8" s="4" t="s">
        <v>10</v>
      </c>
    </row>
    <row r="9" spans="1:20" x14ac:dyDescent="0.3">
      <c r="A9" s="4" t="s">
        <v>14</v>
      </c>
      <c r="B9" s="4" t="s">
        <v>94</v>
      </c>
      <c r="C9" s="4" t="s">
        <v>98</v>
      </c>
      <c r="D9" s="4" t="s">
        <v>94</v>
      </c>
      <c r="E9" s="4" t="s">
        <v>98</v>
      </c>
      <c r="F9" s="4" t="s">
        <v>96</v>
      </c>
    </row>
    <row r="10" spans="1:20" x14ac:dyDescent="0.3">
      <c r="A10" s="4" t="s">
        <v>13</v>
      </c>
      <c r="B10" s="4" t="s">
        <v>98</v>
      </c>
      <c r="C10" s="4" t="s">
        <v>94</v>
      </c>
      <c r="D10" s="4" t="s">
        <v>98</v>
      </c>
      <c r="E10" s="4" t="s">
        <v>94</v>
      </c>
      <c r="F10" s="4" t="s">
        <v>94</v>
      </c>
    </row>
    <row r="11" spans="1:20" x14ac:dyDescent="0.3">
      <c r="A11" s="4" t="s">
        <v>12</v>
      </c>
      <c r="B11" s="4" t="s">
        <v>94</v>
      </c>
      <c r="C11" s="4" t="s">
        <v>98</v>
      </c>
      <c r="D11" s="4" t="s">
        <v>94</v>
      </c>
      <c r="E11" s="4" t="s">
        <v>98</v>
      </c>
      <c r="F11" s="4" t="s">
        <v>98</v>
      </c>
    </row>
    <row r="12" spans="1:20" x14ac:dyDescent="0.3">
      <c r="A12" s="4" t="s">
        <v>11</v>
      </c>
      <c r="B12" s="4" t="s">
        <v>98</v>
      </c>
      <c r="C12" s="4" t="s">
        <v>94</v>
      </c>
      <c r="D12" s="4" t="s">
        <v>95</v>
      </c>
      <c r="E12" s="4" t="s">
        <v>94</v>
      </c>
      <c r="F12" s="4" t="s">
        <v>98</v>
      </c>
    </row>
    <row r="13" spans="1:20" x14ac:dyDescent="0.3">
      <c r="A13" s="4" t="s">
        <v>10</v>
      </c>
      <c r="B13" s="4" t="s">
        <v>98</v>
      </c>
      <c r="C13" s="4" t="s">
        <v>94</v>
      </c>
      <c r="D13" s="4" t="s">
        <v>94</v>
      </c>
      <c r="E13" s="4" t="s">
        <v>98</v>
      </c>
      <c r="F13" s="4" t="s">
        <v>94</v>
      </c>
    </row>
    <row r="15" spans="1:20" x14ac:dyDescent="0.3">
      <c r="A15" s="4"/>
      <c r="B15" s="4" t="s">
        <v>14</v>
      </c>
      <c r="C15" s="4" t="s">
        <v>13</v>
      </c>
      <c r="D15" s="4" t="s">
        <v>12</v>
      </c>
      <c r="E15" s="4" t="s">
        <v>11</v>
      </c>
      <c r="F15" s="4" t="s">
        <v>10</v>
      </c>
    </row>
    <row r="16" spans="1:20" x14ac:dyDescent="0.3">
      <c r="A16" s="4" t="s">
        <v>14</v>
      </c>
      <c r="B16" s="4" t="str">
        <f>VLOOKUP(B9,'SPF ISM'!$P$2:$Q$6,2,FALSE)</f>
        <v>(0,9; 0,1; 0,1)</v>
      </c>
      <c r="C16" s="4" t="str">
        <f>VLOOKUP(C9,'SPF ISM'!$P$2:$Q$6,2,FALSE)</f>
        <v>(0,1; 0,9; 0,1)</v>
      </c>
      <c r="D16" s="4" t="str">
        <f>VLOOKUP(D9,'SPF ISM'!$P$2:$Q$6,2,FALSE)</f>
        <v>(0,9; 0,1; 0,1)</v>
      </c>
      <c r="E16" s="4" t="str">
        <f>VLOOKUP(E9,'SPF ISM'!$P$2:$Q$6,2,FALSE)</f>
        <v>(0,1; 0,9; 0,1)</v>
      </c>
      <c r="F16" s="4" t="str">
        <f>VLOOKUP(F9,'SPF ISM'!$P$2:$Q$6,2,FALSE)</f>
        <v>(0,5; 0,5; 0,5)</v>
      </c>
    </row>
    <row r="17" spans="1:6" x14ac:dyDescent="0.3">
      <c r="A17" s="4" t="s">
        <v>13</v>
      </c>
      <c r="B17" s="4" t="str">
        <f>VLOOKUP(B10,'SPF ISM'!$P$2:$Q$6,2,FALSE)</f>
        <v>(0,1; 0,9; 0,1)</v>
      </c>
      <c r="C17" s="4" t="str">
        <f>VLOOKUP(C10,'SPF ISM'!$P$2:$Q$6,2,FALSE)</f>
        <v>(0,9; 0,1; 0,1)</v>
      </c>
      <c r="D17" s="4" t="str">
        <f>VLOOKUP(D10,'SPF ISM'!$P$2:$Q$6,2,FALSE)</f>
        <v>(0,1; 0,9; 0,1)</v>
      </c>
      <c r="E17" s="4" t="str">
        <f>VLOOKUP(E10,'SPF ISM'!$P$2:$Q$6,2,FALSE)</f>
        <v>(0,9; 0,1; 0,1)</v>
      </c>
      <c r="F17" s="4" t="str">
        <f>VLOOKUP(F10,'SPF ISM'!$P$2:$Q$6,2,FALSE)</f>
        <v>(0,9; 0,1; 0,1)</v>
      </c>
    </row>
    <row r="18" spans="1:6" x14ac:dyDescent="0.3">
      <c r="A18" s="4" t="s">
        <v>12</v>
      </c>
      <c r="B18" s="4" t="str">
        <f>VLOOKUP(B11,'SPF ISM'!$P$2:$Q$6,2,FALSE)</f>
        <v>(0,9; 0,1; 0,1)</v>
      </c>
      <c r="C18" s="4" t="str">
        <f>VLOOKUP(C11,'SPF ISM'!$P$2:$Q$6,2,FALSE)</f>
        <v>(0,1; 0,9; 0,1)</v>
      </c>
      <c r="D18" s="4" t="str">
        <f>VLOOKUP(D11,'SPF ISM'!$P$2:$Q$6,2,FALSE)</f>
        <v>(0,9; 0,1; 0,1)</v>
      </c>
      <c r="E18" s="4" t="str">
        <f>VLOOKUP(E11,'SPF ISM'!$P$2:$Q$6,2,FALSE)</f>
        <v>(0,1; 0,9; 0,1)</v>
      </c>
      <c r="F18" s="4" t="str">
        <f>VLOOKUP(F11,'SPF ISM'!$P$2:$Q$6,2,FALSE)</f>
        <v>(0,1; 0,9; 0,1)</v>
      </c>
    </row>
    <row r="19" spans="1:6" x14ac:dyDescent="0.3">
      <c r="A19" s="4" t="s">
        <v>11</v>
      </c>
      <c r="B19" s="4" t="str">
        <f>VLOOKUP(B12,'SPF ISM'!$P$2:$Q$6,2,FALSE)</f>
        <v>(0,1; 0,9; 0,1)</v>
      </c>
      <c r="C19" s="4" t="str">
        <f>VLOOKUP(C12,'SPF ISM'!$P$2:$Q$6,2,FALSE)</f>
        <v>(0,9; 0,1; 0,1)</v>
      </c>
      <c r="D19" s="4" t="str">
        <f>VLOOKUP(D12,'SPF ISM'!$P$2:$Q$6,2,FALSE)</f>
        <v>(0,7; 0,3; 0,3)</v>
      </c>
      <c r="E19" s="4" t="str">
        <f>VLOOKUP(E12,'SPF ISM'!$P$2:$Q$6,2,FALSE)</f>
        <v>(0,9; 0,1; 0,1)</v>
      </c>
      <c r="F19" s="4" t="str">
        <f>VLOOKUP(F12,'SPF ISM'!$P$2:$Q$6,2,FALSE)</f>
        <v>(0,1; 0,9; 0,1)</v>
      </c>
    </row>
    <row r="20" spans="1:6" x14ac:dyDescent="0.3">
      <c r="A20" s="4" t="s">
        <v>10</v>
      </c>
      <c r="B20" s="4" t="str">
        <f>VLOOKUP(B13,'SPF ISM'!$P$2:$Q$6,2,FALSE)</f>
        <v>(0,1; 0,9; 0,1)</v>
      </c>
      <c r="C20" s="4" t="str">
        <f>VLOOKUP(C13,'SPF ISM'!$P$2:$Q$6,2,FALSE)</f>
        <v>(0,9; 0,1; 0,1)</v>
      </c>
      <c r="D20" s="4" t="str">
        <f>VLOOKUP(D13,'SPF ISM'!$P$2:$Q$6,2,FALSE)</f>
        <v>(0,9; 0,1; 0,1)</v>
      </c>
      <c r="E20" s="4" t="str">
        <f>VLOOKUP(E13,'SPF ISM'!$P$2:$Q$6,2,FALSE)</f>
        <v>(0,1; 0,9; 0,1)</v>
      </c>
      <c r="F20" s="4" t="str">
        <f>VLOOKUP(F13,'SPF ISM'!$P$2:$Q$6,2,FALSE)</f>
        <v>(0,9; 0,1; 0,1)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FD8A-3233-456D-A19F-9C5EE88C82E8}">
  <sheetPr codeName="Sheet9"/>
  <dimension ref="A1:T20"/>
  <sheetViews>
    <sheetView workbookViewId="0">
      <selection activeCell="F17" sqref="F17"/>
    </sheetView>
  </sheetViews>
  <sheetFormatPr defaultRowHeight="14.4" x14ac:dyDescent="0.3"/>
  <sheetData>
    <row r="1" spans="1:20" x14ac:dyDescent="0.3">
      <c r="A1" s="4"/>
      <c r="B1" s="4" t="s">
        <v>14</v>
      </c>
      <c r="C1" s="4" t="s">
        <v>13</v>
      </c>
      <c r="D1" s="4" t="s">
        <v>12</v>
      </c>
      <c r="E1" s="4" t="s">
        <v>11</v>
      </c>
      <c r="F1" s="4" t="s">
        <v>10</v>
      </c>
      <c r="H1" s="4"/>
      <c r="I1" s="4" t="s">
        <v>14</v>
      </c>
      <c r="J1" s="4" t="s">
        <v>13</v>
      </c>
      <c r="K1" s="4" t="s">
        <v>12</v>
      </c>
      <c r="L1" s="4" t="s">
        <v>11</v>
      </c>
      <c r="M1" s="4" t="s">
        <v>10</v>
      </c>
    </row>
    <row r="2" spans="1:20" x14ac:dyDescent="0.3">
      <c r="A2" s="4" t="s">
        <v>14</v>
      </c>
      <c r="B2" s="4" t="s">
        <v>23</v>
      </c>
      <c r="C2" s="4" t="s">
        <v>22</v>
      </c>
      <c r="D2" s="4" t="s">
        <v>21</v>
      </c>
      <c r="E2" s="4" t="s">
        <v>22</v>
      </c>
      <c r="F2" s="4" t="s">
        <v>22</v>
      </c>
      <c r="H2" s="4" t="s">
        <v>14</v>
      </c>
      <c r="I2" s="4" t="s">
        <v>94</v>
      </c>
      <c r="J2" s="4" t="s">
        <v>95</v>
      </c>
      <c r="K2" s="4" t="s">
        <v>98</v>
      </c>
      <c r="L2" s="4" t="s">
        <v>94</v>
      </c>
      <c r="M2" s="4" t="s">
        <v>94</v>
      </c>
      <c r="R2" s="18">
        <v>1</v>
      </c>
      <c r="S2" t="s">
        <v>20</v>
      </c>
      <c r="T2" t="s">
        <v>100</v>
      </c>
    </row>
    <row r="3" spans="1:20" x14ac:dyDescent="0.3">
      <c r="A3" s="4" t="s">
        <v>13</v>
      </c>
      <c r="B3" s="4" t="s">
        <v>103</v>
      </c>
      <c r="C3" s="4" t="s">
        <v>23</v>
      </c>
      <c r="D3" s="4" t="s">
        <v>23</v>
      </c>
      <c r="E3" s="4" t="s">
        <v>20</v>
      </c>
      <c r="F3" s="4" t="s">
        <v>23</v>
      </c>
      <c r="H3" s="4" t="s">
        <v>13</v>
      </c>
      <c r="I3" s="4" t="s">
        <v>103</v>
      </c>
      <c r="J3" s="4" t="s">
        <v>94</v>
      </c>
      <c r="K3" s="4" t="s">
        <v>94</v>
      </c>
      <c r="L3" s="4" t="s">
        <v>97</v>
      </c>
      <c r="M3" s="4" t="s">
        <v>97</v>
      </c>
      <c r="R3" s="18">
        <v>2</v>
      </c>
      <c r="S3" t="s">
        <v>22</v>
      </c>
      <c r="T3" t="s">
        <v>101</v>
      </c>
    </row>
    <row r="4" spans="1:20" x14ac:dyDescent="0.3">
      <c r="A4" s="4" t="s">
        <v>12</v>
      </c>
      <c r="B4" s="4" t="s">
        <v>103</v>
      </c>
      <c r="C4" s="4" t="s">
        <v>103</v>
      </c>
      <c r="D4" s="4" t="s">
        <v>23</v>
      </c>
      <c r="E4" s="4" t="s">
        <v>21</v>
      </c>
      <c r="F4" s="4" t="s">
        <v>22</v>
      </c>
      <c r="H4" s="4" t="s">
        <v>12</v>
      </c>
      <c r="I4" s="4" t="s">
        <v>103</v>
      </c>
      <c r="J4" s="4" t="s">
        <v>103</v>
      </c>
      <c r="K4" s="4" t="s">
        <v>94</v>
      </c>
      <c r="L4" s="4" t="s">
        <v>98</v>
      </c>
      <c r="M4" s="4" t="s">
        <v>95</v>
      </c>
      <c r="R4" s="18">
        <v>3</v>
      </c>
      <c r="S4" t="s">
        <v>23</v>
      </c>
      <c r="T4" t="s">
        <v>102</v>
      </c>
    </row>
    <row r="5" spans="1:20" x14ac:dyDescent="0.3">
      <c r="A5" s="4" t="s">
        <v>11</v>
      </c>
      <c r="B5" s="4" t="s">
        <v>103</v>
      </c>
      <c r="C5" s="4" t="s">
        <v>103</v>
      </c>
      <c r="D5" s="4" t="s">
        <v>103</v>
      </c>
      <c r="E5" s="4" t="s">
        <v>23</v>
      </c>
      <c r="F5" s="4" t="s">
        <v>22</v>
      </c>
      <c r="H5" s="4" t="s">
        <v>11</v>
      </c>
      <c r="I5" s="4" t="s">
        <v>103</v>
      </c>
      <c r="J5" s="4" t="s">
        <v>103</v>
      </c>
      <c r="K5" s="4" t="s">
        <v>103</v>
      </c>
      <c r="L5" s="4" t="s">
        <v>94</v>
      </c>
      <c r="M5" s="4" t="s">
        <v>95</v>
      </c>
      <c r="R5" s="18">
        <v>4</v>
      </c>
      <c r="S5" t="s">
        <v>21</v>
      </c>
      <c r="T5">
        <v>0</v>
      </c>
    </row>
    <row r="6" spans="1:20" x14ac:dyDescent="0.3">
      <c r="A6" s="4" t="s">
        <v>10</v>
      </c>
      <c r="B6" s="4" t="s">
        <v>103</v>
      </c>
      <c r="C6" s="4" t="s">
        <v>103</v>
      </c>
      <c r="D6" s="4" t="s">
        <v>103</v>
      </c>
      <c r="E6" s="4" t="s">
        <v>103</v>
      </c>
      <c r="F6" s="4" t="s">
        <v>23</v>
      </c>
      <c r="H6" s="4" t="s">
        <v>10</v>
      </c>
      <c r="I6" s="4" t="s">
        <v>103</v>
      </c>
      <c r="J6" s="4" t="s">
        <v>103</v>
      </c>
      <c r="K6" s="4" t="s">
        <v>103</v>
      </c>
      <c r="L6" s="4" t="s">
        <v>103</v>
      </c>
      <c r="M6" s="4" t="s">
        <v>94</v>
      </c>
    </row>
    <row r="8" spans="1:20" x14ac:dyDescent="0.3">
      <c r="A8" s="4"/>
      <c r="B8" s="4" t="s">
        <v>14</v>
      </c>
      <c r="C8" s="4" t="s">
        <v>13</v>
      </c>
      <c r="D8" s="4" t="s">
        <v>12</v>
      </c>
      <c r="E8" s="4" t="s">
        <v>11</v>
      </c>
      <c r="F8" s="4" t="s">
        <v>10</v>
      </c>
    </row>
    <row r="9" spans="1:20" x14ac:dyDescent="0.3">
      <c r="A9" s="4" t="s">
        <v>14</v>
      </c>
      <c r="B9" s="4" t="s">
        <v>94</v>
      </c>
      <c r="C9" s="4" t="s">
        <v>98</v>
      </c>
      <c r="D9" s="4" t="s">
        <v>98</v>
      </c>
      <c r="E9" s="4" t="s">
        <v>98</v>
      </c>
      <c r="F9" s="4" t="s">
        <v>98</v>
      </c>
    </row>
    <row r="10" spans="1:20" x14ac:dyDescent="0.3">
      <c r="A10" s="4" t="s">
        <v>13</v>
      </c>
      <c r="B10" s="4" t="s">
        <v>95</v>
      </c>
      <c r="C10" s="4" t="s">
        <v>94</v>
      </c>
      <c r="D10" s="4" t="s">
        <v>94</v>
      </c>
      <c r="E10" s="4" t="s">
        <v>97</v>
      </c>
      <c r="F10" s="4" t="s">
        <v>97</v>
      </c>
    </row>
    <row r="11" spans="1:20" x14ac:dyDescent="0.3">
      <c r="A11" s="4" t="s">
        <v>12</v>
      </c>
      <c r="B11" s="4" t="s">
        <v>98</v>
      </c>
      <c r="C11" s="4" t="s">
        <v>94</v>
      </c>
      <c r="D11" s="4" t="s">
        <v>94</v>
      </c>
      <c r="E11" s="4" t="s">
        <v>98</v>
      </c>
      <c r="F11" s="4" t="s">
        <v>98</v>
      </c>
    </row>
    <row r="12" spans="1:20" x14ac:dyDescent="0.3">
      <c r="A12" s="4" t="s">
        <v>11</v>
      </c>
      <c r="B12" s="4" t="s">
        <v>94</v>
      </c>
      <c r="C12" s="4" t="s">
        <v>98</v>
      </c>
      <c r="D12" s="4" t="s">
        <v>98</v>
      </c>
      <c r="E12" s="4" t="s">
        <v>94</v>
      </c>
      <c r="F12" s="4" t="s">
        <v>98</v>
      </c>
    </row>
    <row r="13" spans="1:20" x14ac:dyDescent="0.3">
      <c r="A13" s="4" t="s">
        <v>10</v>
      </c>
      <c r="B13" s="4" t="s">
        <v>94</v>
      </c>
      <c r="C13" s="4" t="s">
        <v>97</v>
      </c>
      <c r="D13" s="4" t="s">
        <v>95</v>
      </c>
      <c r="E13" s="4" t="s">
        <v>95</v>
      </c>
      <c r="F13" s="4" t="s">
        <v>94</v>
      </c>
    </row>
    <row r="15" spans="1:20" x14ac:dyDescent="0.3">
      <c r="A15" s="4"/>
      <c r="B15" s="4" t="s">
        <v>14</v>
      </c>
      <c r="C15" s="4" t="s">
        <v>13</v>
      </c>
      <c r="D15" s="4" t="s">
        <v>12</v>
      </c>
      <c r="E15" s="4" t="s">
        <v>11</v>
      </c>
      <c r="F15" s="4" t="s">
        <v>10</v>
      </c>
    </row>
    <row r="16" spans="1:20" x14ac:dyDescent="0.3">
      <c r="A16" s="4" t="s">
        <v>14</v>
      </c>
      <c r="B16" s="4" t="str">
        <f>VLOOKUP(B9,'SPF ISM'!$P$2:$Q$6,2,FALSE)</f>
        <v>(0,9; 0,1; 0,1)</v>
      </c>
      <c r="C16" s="4" t="str">
        <f>VLOOKUP(C9,'SPF ISM'!$P$2:$Q$6,2,FALSE)</f>
        <v>(0,1; 0,9; 0,1)</v>
      </c>
      <c r="D16" s="4" t="str">
        <f>VLOOKUP(D9,'SPF ISM'!$P$2:$Q$6,2,FALSE)</f>
        <v>(0,1; 0,9; 0,1)</v>
      </c>
      <c r="E16" s="4" t="str">
        <f>VLOOKUP(E9,'SPF ISM'!$P$2:$Q$6,2,FALSE)</f>
        <v>(0,1; 0,9; 0,1)</v>
      </c>
      <c r="F16" s="4" t="str">
        <f>VLOOKUP(F9,'SPF ISM'!$P$2:$Q$6,2,FALSE)</f>
        <v>(0,1; 0,9; 0,1)</v>
      </c>
    </row>
    <row r="17" spans="1:6" x14ac:dyDescent="0.3">
      <c r="A17" s="4" t="s">
        <v>13</v>
      </c>
      <c r="B17" s="4" t="str">
        <f>VLOOKUP(B10,'SPF ISM'!$P$2:$Q$6,2,FALSE)</f>
        <v>(0,7; 0,3; 0,3)</v>
      </c>
      <c r="C17" s="4" t="str">
        <f>VLOOKUP(C10,'SPF ISM'!$P$2:$Q$6,2,FALSE)</f>
        <v>(0,9; 0,1; 0,1)</v>
      </c>
      <c r="D17" s="4" t="str">
        <f>VLOOKUP(D10,'SPF ISM'!$P$2:$Q$6,2,FALSE)</f>
        <v>(0,9; 0,1; 0,1)</v>
      </c>
      <c r="E17" s="4" t="str">
        <f>VLOOKUP(E10,'SPF ISM'!$P$2:$Q$6,2,FALSE)</f>
        <v>(0,3; 0,7; 0,3)</v>
      </c>
      <c r="F17" s="4" t="str">
        <f>VLOOKUP(F10,'SPF ISM'!$P$2:$Q$6,2,FALSE)</f>
        <v>(0,3; 0,7; 0,3)</v>
      </c>
    </row>
    <row r="18" spans="1:6" x14ac:dyDescent="0.3">
      <c r="A18" s="4" t="s">
        <v>12</v>
      </c>
      <c r="B18" s="4" t="str">
        <f>VLOOKUP(B11,'SPF ISM'!$P$2:$Q$6,2,FALSE)</f>
        <v>(0,1; 0,9; 0,1)</v>
      </c>
      <c r="C18" s="4" t="str">
        <f>VLOOKUP(C11,'SPF ISM'!$P$2:$Q$6,2,FALSE)</f>
        <v>(0,9; 0,1; 0,1)</v>
      </c>
      <c r="D18" s="4" t="str">
        <f>VLOOKUP(D11,'SPF ISM'!$P$2:$Q$6,2,FALSE)</f>
        <v>(0,9; 0,1; 0,1)</v>
      </c>
      <c r="E18" s="4" t="str">
        <f>VLOOKUP(E11,'SPF ISM'!$P$2:$Q$6,2,FALSE)</f>
        <v>(0,1; 0,9; 0,1)</v>
      </c>
      <c r="F18" s="4" t="str">
        <f>VLOOKUP(F11,'SPF ISM'!$P$2:$Q$6,2,FALSE)</f>
        <v>(0,1; 0,9; 0,1)</v>
      </c>
    </row>
    <row r="19" spans="1:6" x14ac:dyDescent="0.3">
      <c r="A19" s="4" t="s">
        <v>11</v>
      </c>
      <c r="B19" s="4" t="str">
        <f>VLOOKUP(B12,'SPF ISM'!$P$2:$Q$6,2,FALSE)</f>
        <v>(0,9; 0,1; 0,1)</v>
      </c>
      <c r="C19" s="4" t="str">
        <f>VLOOKUP(C12,'SPF ISM'!$P$2:$Q$6,2,FALSE)</f>
        <v>(0,1; 0,9; 0,1)</v>
      </c>
      <c r="D19" s="4" t="str">
        <f>VLOOKUP(D12,'SPF ISM'!$P$2:$Q$6,2,FALSE)</f>
        <v>(0,1; 0,9; 0,1)</v>
      </c>
      <c r="E19" s="4" t="str">
        <f>VLOOKUP(E12,'SPF ISM'!$P$2:$Q$6,2,FALSE)</f>
        <v>(0,9; 0,1; 0,1)</v>
      </c>
      <c r="F19" s="4" t="str">
        <f>VLOOKUP(F12,'SPF ISM'!$P$2:$Q$6,2,FALSE)</f>
        <v>(0,1; 0,9; 0,1)</v>
      </c>
    </row>
    <row r="20" spans="1:6" x14ac:dyDescent="0.3">
      <c r="A20" s="4" t="s">
        <v>10</v>
      </c>
      <c r="B20" s="4" t="str">
        <f>VLOOKUP(B13,'SPF ISM'!$P$2:$Q$6,2,FALSE)</f>
        <v>(0,9; 0,1; 0,1)</v>
      </c>
      <c r="C20" s="4" t="str">
        <f>VLOOKUP(C13,'SPF ISM'!$P$2:$Q$6,2,FALSE)</f>
        <v>(0,3; 0,7; 0,3)</v>
      </c>
      <c r="D20" s="4" t="str">
        <f>VLOOKUP(D13,'SPF ISM'!$P$2:$Q$6,2,FALSE)</f>
        <v>(0,7; 0,3; 0,3)</v>
      </c>
      <c r="E20" s="4" t="str">
        <f>VLOOKUP(E13,'SPF ISM'!$P$2:$Q$6,2,FALSE)</f>
        <v>(0,7; 0,3; 0,3)</v>
      </c>
      <c r="F20" s="4" t="str">
        <f>VLOOKUP(F13,'SPF ISM'!$P$2:$Q$6,2,FALSE)</f>
        <v>(0,9; 0,1; 0,1)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0581F-1EFE-4C08-A918-24B2175BB5F8}">
  <sheetPr codeName="Sheet10"/>
  <dimension ref="A1:T20"/>
  <sheetViews>
    <sheetView workbookViewId="0">
      <selection activeCell="F20" sqref="F20"/>
    </sheetView>
  </sheetViews>
  <sheetFormatPr defaultRowHeight="14.4" x14ac:dyDescent="0.3"/>
  <sheetData>
    <row r="1" spans="1:20" x14ac:dyDescent="0.3">
      <c r="A1" s="4"/>
      <c r="B1" s="4" t="s">
        <v>14</v>
      </c>
      <c r="C1" s="4" t="s">
        <v>13</v>
      </c>
      <c r="D1" s="4" t="s">
        <v>12</v>
      </c>
      <c r="E1" s="4" t="s">
        <v>11</v>
      </c>
      <c r="F1" s="4" t="s">
        <v>10</v>
      </c>
      <c r="H1" s="4"/>
      <c r="I1" s="4" t="s">
        <v>14</v>
      </c>
      <c r="J1" s="4" t="s">
        <v>13</v>
      </c>
      <c r="K1" s="4" t="s">
        <v>12</v>
      </c>
      <c r="L1" s="4" t="s">
        <v>11</v>
      </c>
      <c r="M1" s="4" t="s">
        <v>10</v>
      </c>
    </row>
    <row r="2" spans="1:20" x14ac:dyDescent="0.3">
      <c r="A2" s="4" t="s">
        <v>14</v>
      </c>
      <c r="B2" s="4" t="s">
        <v>23</v>
      </c>
      <c r="C2" s="4" t="s">
        <v>20</v>
      </c>
      <c r="D2" s="4" t="s">
        <v>20</v>
      </c>
      <c r="E2" s="4" t="s">
        <v>22</v>
      </c>
      <c r="F2" s="4" t="s">
        <v>21</v>
      </c>
      <c r="H2" s="4" t="s">
        <v>14</v>
      </c>
      <c r="I2" s="4" t="s">
        <v>94</v>
      </c>
      <c r="J2" s="4" t="s">
        <v>94</v>
      </c>
      <c r="K2" s="4" t="s">
        <v>97</v>
      </c>
      <c r="L2" s="4" t="s">
        <v>95</v>
      </c>
      <c r="M2" s="4" t="s">
        <v>98</v>
      </c>
      <c r="R2" s="18">
        <v>1</v>
      </c>
      <c r="S2" t="s">
        <v>20</v>
      </c>
      <c r="T2" t="s">
        <v>100</v>
      </c>
    </row>
    <row r="3" spans="1:20" x14ac:dyDescent="0.3">
      <c r="A3" s="4" t="s">
        <v>13</v>
      </c>
      <c r="B3" s="4" t="s">
        <v>103</v>
      </c>
      <c r="C3" s="4" t="s">
        <v>23</v>
      </c>
      <c r="D3" s="4" t="s">
        <v>23</v>
      </c>
      <c r="E3" s="4" t="s">
        <v>23</v>
      </c>
      <c r="F3" s="4" t="s">
        <v>21</v>
      </c>
      <c r="H3" s="4" t="s">
        <v>13</v>
      </c>
      <c r="I3" s="4" t="s">
        <v>103</v>
      </c>
      <c r="J3" s="4" t="s">
        <v>94</v>
      </c>
      <c r="K3" s="4" t="s">
        <v>94</v>
      </c>
      <c r="L3" s="4" t="s">
        <v>96</v>
      </c>
      <c r="M3" s="4" t="s">
        <v>98</v>
      </c>
      <c r="R3" s="18">
        <v>2</v>
      </c>
      <c r="S3" t="s">
        <v>22</v>
      </c>
      <c r="T3" t="s">
        <v>101</v>
      </c>
    </row>
    <row r="4" spans="1:20" x14ac:dyDescent="0.3">
      <c r="A4" s="4" t="s">
        <v>12</v>
      </c>
      <c r="B4" s="4" t="s">
        <v>103</v>
      </c>
      <c r="C4" s="4" t="s">
        <v>103</v>
      </c>
      <c r="D4" s="4" t="s">
        <v>23</v>
      </c>
      <c r="E4" s="4" t="s">
        <v>23</v>
      </c>
      <c r="F4" s="4" t="s">
        <v>23</v>
      </c>
      <c r="H4" s="4" t="s">
        <v>12</v>
      </c>
      <c r="I4" s="4" t="s">
        <v>103</v>
      </c>
      <c r="J4" s="4" t="s">
        <v>103</v>
      </c>
      <c r="K4" s="4" t="s">
        <v>94</v>
      </c>
      <c r="L4" s="4" t="s">
        <v>94</v>
      </c>
      <c r="M4" s="4" t="s">
        <v>95</v>
      </c>
      <c r="R4" s="18">
        <v>3</v>
      </c>
      <c r="S4" t="s">
        <v>23</v>
      </c>
      <c r="T4" t="s">
        <v>102</v>
      </c>
    </row>
    <row r="5" spans="1:20" x14ac:dyDescent="0.3">
      <c r="A5" s="4" t="s">
        <v>11</v>
      </c>
      <c r="B5" s="4" t="s">
        <v>103</v>
      </c>
      <c r="C5" s="4" t="s">
        <v>103</v>
      </c>
      <c r="D5" s="4" t="s">
        <v>103</v>
      </c>
      <c r="E5" s="4" t="s">
        <v>23</v>
      </c>
      <c r="F5" s="4" t="s">
        <v>22</v>
      </c>
      <c r="H5" s="4" t="s">
        <v>11</v>
      </c>
      <c r="I5" s="4" t="s">
        <v>103</v>
      </c>
      <c r="J5" s="4" t="s">
        <v>103</v>
      </c>
      <c r="K5" s="4" t="s">
        <v>103</v>
      </c>
      <c r="L5" s="4" t="s">
        <v>94</v>
      </c>
      <c r="M5" s="4" t="s">
        <v>95</v>
      </c>
      <c r="R5" s="18">
        <v>4</v>
      </c>
      <c r="S5" t="s">
        <v>21</v>
      </c>
      <c r="T5">
        <v>0</v>
      </c>
    </row>
    <row r="6" spans="1:20" x14ac:dyDescent="0.3">
      <c r="A6" s="4" t="s">
        <v>10</v>
      </c>
      <c r="B6" s="4" t="s">
        <v>103</v>
      </c>
      <c r="C6" s="4" t="s">
        <v>103</v>
      </c>
      <c r="D6" s="4" t="s">
        <v>103</v>
      </c>
      <c r="E6" s="4" t="s">
        <v>103</v>
      </c>
      <c r="F6" s="4" t="s">
        <v>23</v>
      </c>
      <c r="H6" s="4" t="s">
        <v>10</v>
      </c>
      <c r="I6" s="4" t="s">
        <v>103</v>
      </c>
      <c r="J6" s="4" t="s">
        <v>103</v>
      </c>
      <c r="K6" s="4" t="s">
        <v>103</v>
      </c>
      <c r="L6" s="4" t="s">
        <v>103</v>
      </c>
      <c r="M6" s="4" t="s">
        <v>94</v>
      </c>
    </row>
    <row r="8" spans="1:20" x14ac:dyDescent="0.3">
      <c r="A8" s="4"/>
      <c r="B8" s="4" t="s">
        <v>14</v>
      </c>
      <c r="C8" s="4" t="s">
        <v>13</v>
      </c>
      <c r="D8" s="4" t="s">
        <v>12</v>
      </c>
      <c r="E8" s="4" t="s">
        <v>11</v>
      </c>
      <c r="F8" s="4" t="s">
        <v>10</v>
      </c>
    </row>
    <row r="9" spans="1:20" x14ac:dyDescent="0.3">
      <c r="A9" s="4" t="s">
        <v>14</v>
      </c>
      <c r="B9" s="4" t="s">
        <v>94</v>
      </c>
      <c r="C9" s="4" t="s">
        <v>94</v>
      </c>
      <c r="D9" s="4" t="s">
        <v>97</v>
      </c>
      <c r="E9" s="4" t="s">
        <v>98</v>
      </c>
      <c r="F9" s="4" t="s">
        <v>98</v>
      </c>
    </row>
    <row r="10" spans="1:20" x14ac:dyDescent="0.3">
      <c r="A10" s="4" t="s">
        <v>13</v>
      </c>
      <c r="B10" s="4" t="s">
        <v>98</v>
      </c>
      <c r="C10" s="4" t="s">
        <v>94</v>
      </c>
      <c r="D10" s="4" t="s">
        <v>94</v>
      </c>
      <c r="E10" s="4" t="s">
        <v>96</v>
      </c>
      <c r="F10" s="4" t="s">
        <v>98</v>
      </c>
    </row>
    <row r="11" spans="1:20" x14ac:dyDescent="0.3">
      <c r="A11" s="4" t="s">
        <v>12</v>
      </c>
      <c r="B11" s="4" t="s">
        <v>98</v>
      </c>
      <c r="C11" s="4" t="s">
        <v>94</v>
      </c>
      <c r="D11" s="4" t="s">
        <v>94</v>
      </c>
      <c r="E11" s="4" t="s">
        <v>94</v>
      </c>
      <c r="F11" s="4" t="s">
        <v>95</v>
      </c>
    </row>
    <row r="12" spans="1:20" x14ac:dyDescent="0.3">
      <c r="A12" s="4" t="s">
        <v>11</v>
      </c>
      <c r="B12" s="4" t="s">
        <v>95</v>
      </c>
      <c r="C12" s="4" t="s">
        <v>96</v>
      </c>
      <c r="D12" s="4" t="s">
        <v>94</v>
      </c>
      <c r="E12" s="4" t="s">
        <v>94</v>
      </c>
      <c r="F12" s="4" t="s">
        <v>98</v>
      </c>
    </row>
    <row r="13" spans="1:20" x14ac:dyDescent="0.3">
      <c r="A13" s="4" t="s">
        <v>10</v>
      </c>
      <c r="B13" s="4" t="s">
        <v>98</v>
      </c>
      <c r="C13" s="4" t="s">
        <v>98</v>
      </c>
      <c r="D13" s="4" t="s">
        <v>95</v>
      </c>
      <c r="E13" s="4" t="s">
        <v>95</v>
      </c>
      <c r="F13" s="4" t="s">
        <v>94</v>
      </c>
    </row>
    <row r="15" spans="1:20" x14ac:dyDescent="0.3">
      <c r="A15" s="4"/>
      <c r="B15" s="4" t="s">
        <v>14</v>
      </c>
      <c r="C15" s="4" t="s">
        <v>13</v>
      </c>
      <c r="D15" s="4" t="s">
        <v>12</v>
      </c>
      <c r="E15" s="4" t="s">
        <v>11</v>
      </c>
      <c r="F15" s="4" t="s">
        <v>10</v>
      </c>
    </row>
    <row r="16" spans="1:20" x14ac:dyDescent="0.3">
      <c r="A16" s="4" t="s">
        <v>14</v>
      </c>
      <c r="B16" s="4" t="str">
        <f>VLOOKUP(B9,'SPF ISM'!$P$2:$Q$6,2,FALSE)</f>
        <v>(0,9; 0,1; 0,1)</v>
      </c>
      <c r="C16" s="4" t="str">
        <f>VLOOKUP(C9,'SPF ISM'!$P$2:$Q$6,2,FALSE)</f>
        <v>(0,9; 0,1; 0,1)</v>
      </c>
      <c r="D16" s="4" t="str">
        <f>VLOOKUP(D9,'SPF ISM'!$P$2:$Q$6,2,FALSE)</f>
        <v>(0,3; 0,7; 0,3)</v>
      </c>
      <c r="E16" s="4" t="str">
        <f>VLOOKUP(E9,'SPF ISM'!$P$2:$Q$6,2,FALSE)</f>
        <v>(0,1; 0,9; 0,1)</v>
      </c>
      <c r="F16" s="4" t="str">
        <f>VLOOKUP(F9,'SPF ISM'!$P$2:$Q$6,2,FALSE)</f>
        <v>(0,1; 0,9; 0,1)</v>
      </c>
    </row>
    <row r="17" spans="1:6" x14ac:dyDescent="0.3">
      <c r="A17" s="4" t="s">
        <v>13</v>
      </c>
      <c r="B17" s="4" t="str">
        <f>VLOOKUP(B10,'SPF ISM'!$P$2:$Q$6,2,FALSE)</f>
        <v>(0,1; 0,9; 0,1)</v>
      </c>
      <c r="C17" s="4" t="str">
        <f>VLOOKUP(C10,'SPF ISM'!$P$2:$Q$6,2,FALSE)</f>
        <v>(0,9; 0,1; 0,1)</v>
      </c>
      <c r="D17" s="4" t="str">
        <f>VLOOKUP(D10,'SPF ISM'!$P$2:$Q$6,2,FALSE)</f>
        <v>(0,9; 0,1; 0,1)</v>
      </c>
      <c r="E17" s="4" t="str">
        <f>VLOOKUP(E10,'SPF ISM'!$P$2:$Q$6,2,FALSE)</f>
        <v>(0,5; 0,5; 0,5)</v>
      </c>
      <c r="F17" s="4" t="str">
        <f>VLOOKUP(F10,'SPF ISM'!$P$2:$Q$6,2,FALSE)</f>
        <v>(0,1; 0,9; 0,1)</v>
      </c>
    </row>
    <row r="18" spans="1:6" x14ac:dyDescent="0.3">
      <c r="A18" s="4" t="s">
        <v>12</v>
      </c>
      <c r="B18" s="4" t="str">
        <f>VLOOKUP(B11,'SPF ISM'!$P$2:$Q$6,2,FALSE)</f>
        <v>(0,1; 0,9; 0,1)</v>
      </c>
      <c r="C18" s="4" t="str">
        <f>VLOOKUP(C11,'SPF ISM'!$P$2:$Q$6,2,FALSE)</f>
        <v>(0,9; 0,1; 0,1)</v>
      </c>
      <c r="D18" s="4" t="str">
        <f>VLOOKUP(D11,'SPF ISM'!$P$2:$Q$6,2,FALSE)</f>
        <v>(0,9; 0,1; 0,1)</v>
      </c>
      <c r="E18" s="4" t="str">
        <f>VLOOKUP(E11,'SPF ISM'!$P$2:$Q$6,2,FALSE)</f>
        <v>(0,9; 0,1; 0,1)</v>
      </c>
      <c r="F18" s="4" t="str">
        <f>VLOOKUP(F11,'SPF ISM'!$P$2:$Q$6,2,FALSE)</f>
        <v>(0,7; 0,3; 0,3)</v>
      </c>
    </row>
    <row r="19" spans="1:6" x14ac:dyDescent="0.3">
      <c r="A19" s="4" t="s">
        <v>11</v>
      </c>
      <c r="B19" s="4" t="str">
        <f>VLOOKUP(B12,'SPF ISM'!$P$2:$Q$6,2,FALSE)</f>
        <v>(0,7; 0,3; 0,3)</v>
      </c>
      <c r="C19" s="4" t="str">
        <f>VLOOKUP(C12,'SPF ISM'!$P$2:$Q$6,2,FALSE)</f>
        <v>(0,5; 0,5; 0,5)</v>
      </c>
      <c r="D19" s="4" t="str">
        <f>VLOOKUP(D12,'SPF ISM'!$P$2:$Q$6,2,FALSE)</f>
        <v>(0,9; 0,1; 0,1)</v>
      </c>
      <c r="E19" s="4" t="str">
        <f>VLOOKUP(E12,'SPF ISM'!$P$2:$Q$6,2,FALSE)</f>
        <v>(0,9; 0,1; 0,1)</v>
      </c>
      <c r="F19" s="4" t="str">
        <f>VLOOKUP(F12,'SPF ISM'!$P$2:$Q$6,2,FALSE)</f>
        <v>(0,1; 0,9; 0,1)</v>
      </c>
    </row>
    <row r="20" spans="1:6" x14ac:dyDescent="0.3">
      <c r="A20" s="4" t="s">
        <v>10</v>
      </c>
      <c r="B20" s="4" t="str">
        <f>VLOOKUP(B13,'SPF ISM'!$P$2:$Q$6,2,FALSE)</f>
        <v>(0,1; 0,9; 0,1)</v>
      </c>
      <c r="C20" s="4" t="str">
        <f>VLOOKUP(C13,'SPF ISM'!$P$2:$Q$6,2,FALSE)</f>
        <v>(0,1; 0,9; 0,1)</v>
      </c>
      <c r="D20" s="4" t="str">
        <f>VLOOKUP(D13,'SPF ISM'!$P$2:$Q$6,2,FALSE)</f>
        <v>(0,7; 0,3; 0,3)</v>
      </c>
      <c r="E20" s="4" t="str">
        <f>VLOOKUP(E13,'SPF ISM'!$P$2:$Q$6,2,FALSE)</f>
        <v>(0,7; 0,3; 0,3)</v>
      </c>
      <c r="F20" s="4" t="str">
        <f>VLOOKUP(F13,'SPF ISM'!$P$2:$Q$6,2,FALSE)</f>
        <v>(0,9; 0,1; 0,1)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3173E-7FD9-459F-B040-74CF0AF08519}">
  <sheetPr codeName="Sheet11"/>
  <dimension ref="A1:T20"/>
  <sheetViews>
    <sheetView workbookViewId="0">
      <selection activeCell="I18" sqref="I18"/>
    </sheetView>
  </sheetViews>
  <sheetFormatPr defaultRowHeight="14.4" x14ac:dyDescent="0.3"/>
  <sheetData>
    <row r="1" spans="1:20" x14ac:dyDescent="0.3">
      <c r="A1" s="4"/>
      <c r="B1" s="4" t="s">
        <v>14</v>
      </c>
      <c r="C1" s="4" t="s">
        <v>13</v>
      </c>
      <c r="D1" s="4" t="s">
        <v>12</v>
      </c>
      <c r="E1" s="4" t="s">
        <v>11</v>
      </c>
      <c r="F1" s="4" t="s">
        <v>10</v>
      </c>
      <c r="H1" s="4"/>
      <c r="I1" s="4" t="s">
        <v>14</v>
      </c>
      <c r="J1" s="4" t="s">
        <v>13</v>
      </c>
      <c r="K1" s="4" t="s">
        <v>12</v>
      </c>
      <c r="L1" s="4" t="s">
        <v>11</v>
      </c>
      <c r="M1" s="4" t="s">
        <v>10</v>
      </c>
    </row>
    <row r="2" spans="1:20" x14ac:dyDescent="0.3">
      <c r="A2" s="4" t="s">
        <v>14</v>
      </c>
      <c r="B2" s="4" t="s">
        <v>23</v>
      </c>
      <c r="C2" s="4" t="s">
        <v>20</v>
      </c>
      <c r="D2" s="4" t="s">
        <v>22</v>
      </c>
      <c r="E2" s="4" t="s">
        <v>20</v>
      </c>
      <c r="F2" s="4" t="s">
        <v>20</v>
      </c>
      <c r="H2" s="4" t="s">
        <v>14</v>
      </c>
      <c r="I2" s="4" t="s">
        <v>94</v>
      </c>
      <c r="J2" s="4" t="s">
        <v>95</v>
      </c>
      <c r="K2" s="4" t="s">
        <v>97</v>
      </c>
      <c r="L2" s="4" t="s">
        <v>95</v>
      </c>
      <c r="M2" s="4" t="s">
        <v>95</v>
      </c>
      <c r="R2" s="18">
        <v>1</v>
      </c>
      <c r="S2" t="s">
        <v>20</v>
      </c>
      <c r="T2" t="s">
        <v>100</v>
      </c>
    </row>
    <row r="3" spans="1:20" x14ac:dyDescent="0.3">
      <c r="A3" s="4" t="s">
        <v>13</v>
      </c>
      <c r="B3" s="4" t="s">
        <v>103</v>
      </c>
      <c r="C3" s="4" t="s">
        <v>23</v>
      </c>
      <c r="D3" s="4" t="s">
        <v>23</v>
      </c>
      <c r="E3" s="4" t="s">
        <v>22</v>
      </c>
      <c r="F3" s="4" t="s">
        <v>20</v>
      </c>
      <c r="H3" s="4" t="s">
        <v>13</v>
      </c>
      <c r="I3" s="4" t="s">
        <v>103</v>
      </c>
      <c r="J3" s="4" t="s">
        <v>94</v>
      </c>
      <c r="K3" s="4" t="s">
        <v>97</v>
      </c>
      <c r="L3" s="4" t="s">
        <v>95</v>
      </c>
      <c r="M3" s="4" t="s">
        <v>94</v>
      </c>
      <c r="R3" s="18">
        <v>2</v>
      </c>
      <c r="S3" t="s">
        <v>22</v>
      </c>
      <c r="T3" t="s">
        <v>101</v>
      </c>
    </row>
    <row r="4" spans="1:20" x14ac:dyDescent="0.3">
      <c r="A4" s="4" t="s">
        <v>12</v>
      </c>
      <c r="B4" s="4" t="s">
        <v>103</v>
      </c>
      <c r="C4" s="4" t="s">
        <v>103</v>
      </c>
      <c r="D4" s="4" t="s">
        <v>23</v>
      </c>
      <c r="E4" s="4" t="s">
        <v>22</v>
      </c>
      <c r="F4" s="4" t="s">
        <v>22</v>
      </c>
      <c r="H4" s="4" t="s">
        <v>12</v>
      </c>
      <c r="I4" s="4" t="s">
        <v>103</v>
      </c>
      <c r="J4" s="4" t="s">
        <v>103</v>
      </c>
      <c r="K4" s="4" t="s">
        <v>94</v>
      </c>
      <c r="L4" s="4" t="s">
        <v>96</v>
      </c>
      <c r="M4" s="4" t="s">
        <v>95</v>
      </c>
      <c r="R4" s="18">
        <v>3</v>
      </c>
      <c r="S4" t="s">
        <v>23</v>
      </c>
      <c r="T4" t="s">
        <v>102</v>
      </c>
    </row>
    <row r="5" spans="1:20" x14ac:dyDescent="0.3">
      <c r="A5" s="4" t="s">
        <v>11</v>
      </c>
      <c r="B5" s="4" t="s">
        <v>103</v>
      </c>
      <c r="C5" s="4" t="s">
        <v>103</v>
      </c>
      <c r="D5" s="4" t="s">
        <v>103</v>
      </c>
      <c r="E5" s="4" t="s">
        <v>23</v>
      </c>
      <c r="F5" s="4" t="s">
        <v>21</v>
      </c>
      <c r="H5" s="4" t="s">
        <v>11</v>
      </c>
      <c r="I5" s="4" t="s">
        <v>103</v>
      </c>
      <c r="J5" s="4" t="s">
        <v>103</v>
      </c>
      <c r="K5" s="4" t="s">
        <v>103</v>
      </c>
      <c r="L5" s="4" t="s">
        <v>94</v>
      </c>
      <c r="M5" s="4" t="s">
        <v>98</v>
      </c>
      <c r="R5" s="18">
        <v>4</v>
      </c>
      <c r="S5" t="s">
        <v>21</v>
      </c>
      <c r="T5">
        <v>0</v>
      </c>
    </row>
    <row r="6" spans="1:20" x14ac:dyDescent="0.3">
      <c r="A6" s="4" t="s">
        <v>10</v>
      </c>
      <c r="B6" s="4" t="s">
        <v>103</v>
      </c>
      <c r="C6" s="4" t="s">
        <v>103</v>
      </c>
      <c r="D6" s="4" t="s">
        <v>103</v>
      </c>
      <c r="E6" s="4" t="s">
        <v>103</v>
      </c>
      <c r="F6" s="4" t="s">
        <v>23</v>
      </c>
      <c r="H6" s="4" t="s">
        <v>10</v>
      </c>
      <c r="I6" s="4" t="s">
        <v>103</v>
      </c>
      <c r="J6" s="4" t="s">
        <v>103</v>
      </c>
      <c r="K6" s="4" t="s">
        <v>103</v>
      </c>
      <c r="L6" s="4" t="s">
        <v>103</v>
      </c>
      <c r="M6" s="4" t="s">
        <v>94</v>
      </c>
    </row>
    <row r="8" spans="1:20" x14ac:dyDescent="0.3">
      <c r="A8" s="4"/>
      <c r="B8" s="4" t="s">
        <v>14</v>
      </c>
      <c r="C8" s="4" t="s">
        <v>13</v>
      </c>
      <c r="D8" s="4" t="s">
        <v>12</v>
      </c>
      <c r="E8" s="4" t="s">
        <v>11</v>
      </c>
      <c r="F8" s="4" t="s">
        <v>10</v>
      </c>
    </row>
    <row r="9" spans="1:20" x14ac:dyDescent="0.3">
      <c r="A9" s="4" t="s">
        <v>14</v>
      </c>
      <c r="B9" s="4" t="s">
        <v>94</v>
      </c>
      <c r="C9" s="4" t="s">
        <v>95</v>
      </c>
      <c r="D9" s="4" t="s">
        <v>98</v>
      </c>
      <c r="E9" s="4" t="s">
        <v>95</v>
      </c>
      <c r="F9" s="4" t="s">
        <v>95</v>
      </c>
    </row>
    <row r="10" spans="1:20" x14ac:dyDescent="0.3">
      <c r="A10" s="4" t="s">
        <v>13</v>
      </c>
      <c r="B10" s="4" t="s">
        <v>98</v>
      </c>
      <c r="C10" s="4" t="s">
        <v>94</v>
      </c>
      <c r="D10" s="4" t="s">
        <v>97</v>
      </c>
      <c r="E10" s="4" t="s">
        <v>98</v>
      </c>
      <c r="F10" s="4" t="s">
        <v>94</v>
      </c>
    </row>
    <row r="11" spans="1:20" x14ac:dyDescent="0.3">
      <c r="A11" s="4" t="s">
        <v>12</v>
      </c>
      <c r="B11" s="4" t="s">
        <v>97</v>
      </c>
      <c r="C11" s="4" t="s">
        <v>97</v>
      </c>
      <c r="D11" s="4" t="s">
        <v>94</v>
      </c>
      <c r="E11" s="4" t="s">
        <v>98</v>
      </c>
      <c r="F11" s="4" t="s">
        <v>98</v>
      </c>
    </row>
    <row r="12" spans="1:20" x14ac:dyDescent="0.3">
      <c r="A12" s="4" t="s">
        <v>11</v>
      </c>
      <c r="B12" s="4" t="s">
        <v>98</v>
      </c>
      <c r="C12" s="4" t="s">
        <v>95</v>
      </c>
      <c r="D12" s="4" t="s">
        <v>96</v>
      </c>
      <c r="E12" s="4" t="s">
        <v>94</v>
      </c>
      <c r="F12" s="4" t="s">
        <v>98</v>
      </c>
    </row>
    <row r="13" spans="1:20" x14ac:dyDescent="0.3">
      <c r="A13" s="4" t="s">
        <v>10</v>
      </c>
      <c r="B13" s="4" t="s">
        <v>98</v>
      </c>
      <c r="C13" s="4" t="s">
        <v>98</v>
      </c>
      <c r="D13" s="4" t="s">
        <v>95</v>
      </c>
      <c r="E13" s="4" t="s">
        <v>98</v>
      </c>
      <c r="F13" s="4" t="s">
        <v>94</v>
      </c>
    </row>
    <row r="15" spans="1:20" x14ac:dyDescent="0.3">
      <c r="A15" s="4"/>
      <c r="B15" s="4" t="s">
        <v>14</v>
      </c>
      <c r="C15" s="4" t="s">
        <v>13</v>
      </c>
      <c r="D15" s="4" t="s">
        <v>12</v>
      </c>
      <c r="E15" s="4" t="s">
        <v>11</v>
      </c>
      <c r="F15" s="4" t="s">
        <v>10</v>
      </c>
    </row>
    <row r="16" spans="1:20" x14ac:dyDescent="0.3">
      <c r="A16" s="4" t="s">
        <v>14</v>
      </c>
      <c r="B16" s="4" t="str">
        <f>VLOOKUP(B9,'SPF ISM'!$P$2:$Q$6,2,FALSE)</f>
        <v>(0,9; 0,1; 0,1)</v>
      </c>
      <c r="C16" s="4" t="str">
        <f>VLOOKUP(C9,'SPF ISM'!$P$2:$Q$6,2,FALSE)</f>
        <v>(0,7; 0,3; 0,3)</v>
      </c>
      <c r="D16" s="4" t="str">
        <f>VLOOKUP(D9,'SPF ISM'!$P$2:$Q$6,2,FALSE)</f>
        <v>(0,1; 0,9; 0,1)</v>
      </c>
      <c r="E16" s="4" t="str">
        <f>VLOOKUP(E9,'SPF ISM'!$P$2:$Q$6,2,FALSE)</f>
        <v>(0,7; 0,3; 0,3)</v>
      </c>
      <c r="F16" s="4" t="str">
        <f>VLOOKUP(F9,'SPF ISM'!$P$2:$Q$6,2,FALSE)</f>
        <v>(0,7; 0,3; 0,3)</v>
      </c>
    </row>
    <row r="17" spans="1:6" x14ac:dyDescent="0.3">
      <c r="A17" s="4" t="s">
        <v>13</v>
      </c>
      <c r="B17" s="4" t="str">
        <f>VLOOKUP(B10,'SPF ISM'!$P$2:$Q$6,2,FALSE)</f>
        <v>(0,1; 0,9; 0,1)</v>
      </c>
      <c r="C17" s="4" t="str">
        <f>VLOOKUP(C10,'SPF ISM'!$P$2:$Q$6,2,FALSE)</f>
        <v>(0,9; 0,1; 0,1)</v>
      </c>
      <c r="D17" s="4" t="str">
        <f>VLOOKUP(D10,'SPF ISM'!$P$2:$Q$6,2,FALSE)</f>
        <v>(0,3; 0,7; 0,3)</v>
      </c>
      <c r="E17" s="4" t="str">
        <f>VLOOKUP(E10,'SPF ISM'!$P$2:$Q$6,2,FALSE)</f>
        <v>(0,1; 0,9; 0,1)</v>
      </c>
      <c r="F17" s="4" t="str">
        <f>VLOOKUP(F10,'SPF ISM'!$P$2:$Q$6,2,FALSE)</f>
        <v>(0,9; 0,1; 0,1)</v>
      </c>
    </row>
    <row r="18" spans="1:6" x14ac:dyDescent="0.3">
      <c r="A18" s="4" t="s">
        <v>12</v>
      </c>
      <c r="B18" s="4" t="str">
        <f>VLOOKUP(B11,'SPF ISM'!$P$2:$Q$6,2,FALSE)</f>
        <v>(0,3; 0,7; 0,3)</v>
      </c>
      <c r="C18" s="4" t="str">
        <f>VLOOKUP(C11,'SPF ISM'!$P$2:$Q$6,2,FALSE)</f>
        <v>(0,3; 0,7; 0,3)</v>
      </c>
      <c r="D18" s="4" t="str">
        <f>VLOOKUP(D11,'SPF ISM'!$P$2:$Q$6,2,FALSE)</f>
        <v>(0,9; 0,1; 0,1)</v>
      </c>
      <c r="E18" s="4" t="str">
        <f>VLOOKUP(E11,'SPF ISM'!$P$2:$Q$6,2,FALSE)</f>
        <v>(0,1; 0,9; 0,1)</v>
      </c>
      <c r="F18" s="4" t="str">
        <f>VLOOKUP(F11,'SPF ISM'!$P$2:$Q$6,2,FALSE)</f>
        <v>(0,1; 0,9; 0,1)</v>
      </c>
    </row>
    <row r="19" spans="1:6" x14ac:dyDescent="0.3">
      <c r="A19" s="4" t="s">
        <v>11</v>
      </c>
      <c r="B19" s="4" t="str">
        <f>VLOOKUP(B12,'SPF ISM'!$P$2:$Q$6,2,FALSE)</f>
        <v>(0,1; 0,9; 0,1)</v>
      </c>
      <c r="C19" s="4" t="str">
        <f>VLOOKUP(C12,'SPF ISM'!$P$2:$Q$6,2,FALSE)</f>
        <v>(0,7; 0,3; 0,3)</v>
      </c>
      <c r="D19" s="4" t="str">
        <f>VLOOKUP(D12,'SPF ISM'!$P$2:$Q$6,2,FALSE)</f>
        <v>(0,5; 0,5; 0,5)</v>
      </c>
      <c r="E19" s="4" t="str">
        <f>VLOOKUP(E12,'SPF ISM'!$P$2:$Q$6,2,FALSE)</f>
        <v>(0,9; 0,1; 0,1)</v>
      </c>
      <c r="F19" s="4" t="str">
        <f>VLOOKUP(F12,'SPF ISM'!$P$2:$Q$6,2,FALSE)</f>
        <v>(0,1; 0,9; 0,1)</v>
      </c>
    </row>
    <row r="20" spans="1:6" x14ac:dyDescent="0.3">
      <c r="A20" s="4" t="s">
        <v>10</v>
      </c>
      <c r="B20" s="4" t="str">
        <f>VLOOKUP(B13,'SPF ISM'!$P$2:$Q$6,2,FALSE)</f>
        <v>(0,1; 0,9; 0,1)</v>
      </c>
      <c r="C20" s="4" t="str">
        <f>VLOOKUP(C13,'SPF ISM'!$P$2:$Q$6,2,FALSE)</f>
        <v>(0,1; 0,9; 0,1)</v>
      </c>
      <c r="D20" s="4" t="str">
        <f>VLOOKUP(D13,'SPF ISM'!$P$2:$Q$6,2,FALSE)</f>
        <v>(0,7; 0,3; 0,3)</v>
      </c>
      <c r="E20" s="4" t="str">
        <f>VLOOKUP(E13,'SPF ISM'!$P$2:$Q$6,2,FALSE)</f>
        <v>(0,1; 0,9; 0,1)</v>
      </c>
      <c r="F20" s="4" t="str">
        <f>VLOOKUP(F13,'SPF ISM'!$P$2:$Q$6,2,FALSE)</f>
        <v>(0,9; 0,1; 0,1)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Sheet2</vt:lpstr>
      <vt:lpstr>Sheet3</vt:lpstr>
      <vt:lpstr>Sheet1</vt:lpstr>
      <vt:lpstr>Result FRM</vt:lpstr>
      <vt:lpstr>Result IRFA</vt:lpstr>
      <vt:lpstr>Result AutoComplete</vt:lpstr>
      <vt:lpstr>SPF ISM</vt:lpstr>
      <vt:lpstr>Ans1</vt:lpstr>
      <vt:lpstr>Ans2</vt:lpstr>
      <vt:lpstr>Ans3</vt:lpstr>
      <vt:lpstr>Ans4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This PC</dc:creator>
  <cp:keywords/>
  <dc:description/>
  <cp:lastModifiedBy>Thế Vũ Phạm</cp:lastModifiedBy>
  <cp:revision/>
  <dcterms:created xsi:type="dcterms:W3CDTF">2023-04-11T16:43:04Z</dcterms:created>
  <dcterms:modified xsi:type="dcterms:W3CDTF">2025-05-10T14:16:32Z</dcterms:modified>
  <cp:category/>
  <cp:contentStatus/>
</cp:coreProperties>
</file>